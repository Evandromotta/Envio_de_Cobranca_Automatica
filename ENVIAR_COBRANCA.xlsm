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updateLinks="always" codeName="EstaPastaDeTrabalho1" defaultThemeVersion="166925"/>
  <mc:AlternateContent xmlns:mc="http://schemas.openxmlformats.org/markup-compatibility/2006">
    <mc:Choice Requires="x15">
      <x15ac:absPath xmlns:x15ac="http://schemas.microsoft.com/office/spreadsheetml/2010/11/ac" url="https://transgabardo-my.sharepoint.com/personal/evandro_motta_transgabardo_com_br/Documents/BOLETOS e FATURAS/Cobrança Boletos/"/>
    </mc:Choice>
  </mc:AlternateContent>
  <xr:revisionPtr revIDLastSave="143" documentId="8_{4F212738-BEDE-4404-A810-35797FFF8C75}" xr6:coauthVersionLast="47" xr6:coauthVersionMax="47" xr10:uidLastSave="{178C36B7-4CA2-4112-9DE6-6DE143729EDA}"/>
  <bookViews>
    <workbookView xWindow="-120" yWindow="-120" windowWidth="20730" windowHeight="11160" tabRatio="500" xr2:uid="{00000000-000D-0000-FFFF-FFFF00000000}"/>
  </bookViews>
  <sheets>
    <sheet name="Envio de CTes" sheetId="1" r:id="rId1"/>
    <sheet name="Catálogo de e-mails" sheetId="6" r:id="rId2"/>
  </sheets>
  <externalReferences>
    <externalReference r:id="rId3"/>
  </externalReferenc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17" i="6" l="1"/>
  <c r="A17" i="1" s="1"/>
  <c r="A3" i="6"/>
  <c r="A6" i="6"/>
  <c r="A10" i="6"/>
  <c r="A89" i="1"/>
  <c r="A90" i="1"/>
  <c r="B13" i="6"/>
  <c r="A13" i="6" s="1"/>
  <c r="A13" i="1" s="1"/>
  <c r="B14" i="6"/>
  <c r="A14" i="6" s="1"/>
  <c r="A14" i="1" s="1"/>
  <c r="B15" i="6"/>
  <c r="A15" i="6" s="1"/>
  <c r="A15" i="1" s="1"/>
  <c r="B16" i="6"/>
  <c r="A16" i="6" s="1"/>
  <c r="A16" i="1" s="1"/>
  <c r="B17" i="6"/>
  <c r="B18" i="6"/>
  <c r="A18" i="6" s="1"/>
  <c r="A18" i="1" s="1"/>
  <c r="A21" i="6"/>
  <c r="A21" i="1" s="1"/>
  <c r="A23" i="6"/>
  <c r="A23" i="1" s="1"/>
  <c r="A25" i="6"/>
  <c r="A25" i="1" s="1"/>
  <c r="A27" i="6"/>
  <c r="A27" i="1" s="1"/>
  <c r="A29" i="6"/>
  <c r="A29" i="1" s="1"/>
  <c r="A31" i="6"/>
  <c r="A31" i="1" s="1"/>
  <c r="A33" i="6"/>
  <c r="A33" i="1" s="1"/>
  <c r="A35" i="6"/>
  <c r="A35" i="1" s="1"/>
  <c r="A37" i="6"/>
  <c r="A37" i="1" s="1"/>
  <c r="A39" i="6"/>
  <c r="A39" i="1" s="1"/>
  <c r="A41" i="6"/>
  <c r="A41" i="1" s="1"/>
  <c r="A43" i="6"/>
  <c r="A43" i="1" s="1"/>
  <c r="A45" i="6"/>
  <c r="A45" i="1" s="1"/>
  <c r="A47" i="6"/>
  <c r="A47" i="1" s="1"/>
  <c r="A49" i="6"/>
  <c r="A49" i="1" s="1"/>
  <c r="A51" i="6"/>
  <c r="A51" i="1" s="1"/>
  <c r="A53" i="6"/>
  <c r="A53" i="1" s="1"/>
  <c r="A55" i="6"/>
  <c r="A55" i="1" s="1"/>
  <c r="A57" i="6"/>
  <c r="A57" i="1" s="1"/>
  <c r="A59" i="6"/>
  <c r="A59" i="1" s="1"/>
  <c r="A61" i="6"/>
  <c r="A61" i="1" s="1"/>
  <c r="A63" i="6"/>
  <c r="A63" i="1" s="1"/>
  <c r="A65" i="6"/>
  <c r="A65" i="1" s="1"/>
  <c r="A67" i="6"/>
  <c r="A67" i="1" s="1"/>
  <c r="A69" i="6"/>
  <c r="A69" i="1" s="1"/>
  <c r="A70" i="6"/>
  <c r="A70" i="1" s="1"/>
  <c r="A71" i="6"/>
  <c r="A71" i="1" s="1"/>
  <c r="A72" i="6"/>
  <c r="A72" i="1" s="1"/>
  <c r="A73" i="6"/>
  <c r="A73" i="1" s="1"/>
  <c r="A74" i="6"/>
  <c r="A74" i="1" s="1"/>
  <c r="A75" i="6"/>
  <c r="A75" i="1" s="1"/>
  <c r="A76" i="6"/>
  <c r="A76" i="1" s="1"/>
  <c r="A77" i="6"/>
  <c r="A77" i="1" s="1"/>
  <c r="A78" i="6"/>
  <c r="A78" i="1" s="1"/>
  <c r="A79" i="6"/>
  <c r="A79" i="1" s="1"/>
  <c r="A80" i="6"/>
  <c r="A80" i="1" s="1"/>
  <c r="A81" i="6"/>
  <c r="A81" i="1" s="1"/>
  <c r="A82" i="6"/>
  <c r="A82" i="1" s="1"/>
  <c r="A83" i="6"/>
  <c r="A83" i="1" s="1"/>
  <c r="A84" i="6"/>
  <c r="A84" i="1" s="1"/>
  <c r="A85" i="6"/>
  <c r="A85" i="1" s="1"/>
  <c r="A86" i="6"/>
  <c r="A86" i="1" s="1"/>
  <c r="A87" i="6"/>
  <c r="A87" i="1" s="1"/>
  <c r="A88" i="6"/>
  <c r="A88" i="1" s="1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B3" i="6"/>
  <c r="B4" i="6"/>
  <c r="A4" i="6" s="1"/>
  <c r="B5" i="6"/>
  <c r="A5" i="6" s="1"/>
  <c r="B6" i="6"/>
  <c r="B7" i="6"/>
  <c r="A7" i="6" s="1"/>
  <c r="B8" i="6"/>
  <c r="A8" i="6" s="1"/>
  <c r="B9" i="6"/>
  <c r="A9" i="6" s="1"/>
  <c r="B10" i="6"/>
  <c r="B11" i="6"/>
  <c r="A11" i="6" s="1"/>
  <c r="B12" i="6"/>
  <c r="A12" i="6" s="1"/>
  <c r="B19" i="6"/>
  <c r="A19" i="6" s="1"/>
  <c r="A19" i="1" s="1"/>
  <c r="B20" i="6"/>
  <c r="A20" i="6" s="1"/>
  <c r="A20" i="1" s="1"/>
  <c r="B21" i="6"/>
  <c r="B22" i="6"/>
  <c r="A22" i="6" s="1"/>
  <c r="A22" i="1" s="1"/>
  <c r="B23" i="6"/>
  <c r="B24" i="6"/>
  <c r="A24" i="6" s="1"/>
  <c r="A24" i="1" s="1"/>
  <c r="B25" i="6"/>
  <c r="B26" i="6"/>
  <c r="A26" i="6" s="1"/>
  <c r="A26" i="1" s="1"/>
  <c r="B27" i="6"/>
  <c r="B28" i="6"/>
  <c r="A28" i="6" s="1"/>
  <c r="A28" i="1" s="1"/>
  <c r="B29" i="6"/>
  <c r="B30" i="6"/>
  <c r="A30" i="6" s="1"/>
  <c r="A30" i="1" s="1"/>
  <c r="B31" i="6"/>
  <c r="B32" i="6"/>
  <c r="A32" i="6" s="1"/>
  <c r="A32" i="1" s="1"/>
  <c r="B33" i="6"/>
  <c r="B34" i="6"/>
  <c r="A34" i="6" s="1"/>
  <c r="A34" i="1" s="1"/>
  <c r="B35" i="6"/>
  <c r="B36" i="6"/>
  <c r="A36" i="6" s="1"/>
  <c r="A36" i="1" s="1"/>
  <c r="B37" i="6"/>
  <c r="B38" i="6"/>
  <c r="A38" i="6" s="1"/>
  <c r="A38" i="1" s="1"/>
  <c r="B39" i="6"/>
  <c r="B40" i="6"/>
  <c r="A40" i="6" s="1"/>
  <c r="A40" i="1" s="1"/>
  <c r="B41" i="6"/>
  <c r="B42" i="6"/>
  <c r="A42" i="6" s="1"/>
  <c r="A42" i="1" s="1"/>
  <c r="B43" i="6"/>
  <c r="B44" i="6"/>
  <c r="A44" i="6" s="1"/>
  <c r="A44" i="1" s="1"/>
  <c r="B45" i="6"/>
  <c r="B46" i="6"/>
  <c r="A46" i="6" s="1"/>
  <c r="A46" i="1" s="1"/>
  <c r="B47" i="6"/>
  <c r="B48" i="6"/>
  <c r="A48" i="6" s="1"/>
  <c r="A48" i="1" s="1"/>
  <c r="B49" i="6"/>
  <c r="B50" i="6"/>
  <c r="A50" i="6" s="1"/>
  <c r="A50" i="1" s="1"/>
  <c r="B51" i="6"/>
  <c r="B52" i="6"/>
  <c r="A52" i="6" s="1"/>
  <c r="A52" i="1" s="1"/>
  <c r="B53" i="6"/>
  <c r="B54" i="6"/>
  <c r="A54" i="6" s="1"/>
  <c r="A54" i="1" s="1"/>
  <c r="B55" i="6"/>
  <c r="B56" i="6"/>
  <c r="A56" i="6" s="1"/>
  <c r="A56" i="1" s="1"/>
  <c r="B57" i="6"/>
  <c r="B58" i="6"/>
  <c r="A58" i="6" s="1"/>
  <c r="A58" i="1" s="1"/>
  <c r="B59" i="6"/>
  <c r="B60" i="6"/>
  <c r="A60" i="6" s="1"/>
  <c r="A60" i="1" s="1"/>
  <c r="B61" i="6"/>
  <c r="B62" i="6"/>
  <c r="A62" i="6" s="1"/>
  <c r="A62" i="1" s="1"/>
  <c r="B63" i="6"/>
  <c r="B64" i="6"/>
  <c r="A64" i="6" s="1"/>
  <c r="A64" i="1" s="1"/>
  <c r="B65" i="6"/>
  <c r="B66" i="6"/>
  <c r="A66" i="6" s="1"/>
  <c r="A66" i="1" s="1"/>
  <c r="B67" i="6"/>
  <c r="B68" i="6"/>
  <c r="A68" i="6" s="1"/>
  <c r="A68" i="1" s="1"/>
  <c r="B69" i="6"/>
  <c r="B2" i="6"/>
  <c r="A2" i="6" s="1"/>
  <c r="A2" i="1" s="1"/>
  <c r="H2" i="6"/>
  <c r="H3" i="6"/>
  <c r="H4" i="6"/>
  <c r="H5" i="6"/>
  <c r="H6" i="6"/>
  <c r="H7" i="6"/>
  <c r="H8" i="6"/>
  <c r="H9" i="6"/>
  <c r="H10" i="6"/>
  <c r="H11" i="6"/>
  <c r="H12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C87" i="6"/>
  <c r="C87" i="1" s="1"/>
  <c r="B88" i="6"/>
  <c r="C88" i="6"/>
  <c r="H88" i="6"/>
  <c r="B89" i="6"/>
  <c r="C89" i="6"/>
  <c r="C89" i="1" s="1"/>
  <c r="H89" i="6"/>
  <c r="B90" i="6"/>
  <c r="C90" i="6"/>
  <c r="H90" i="6"/>
  <c r="B91" i="6"/>
  <c r="C91" i="6"/>
  <c r="H91" i="6"/>
  <c r="B92" i="6"/>
  <c r="C92" i="6"/>
  <c r="H92" i="6"/>
  <c r="B93" i="6"/>
  <c r="C93" i="6"/>
  <c r="H93" i="6"/>
  <c r="B94" i="6"/>
  <c r="C94" i="6"/>
  <c r="H94" i="6"/>
  <c r="B95" i="6"/>
  <c r="C95" i="6"/>
  <c r="H95" i="6"/>
  <c r="B96" i="6"/>
  <c r="C96" i="6"/>
  <c r="H96" i="6"/>
  <c r="B97" i="6"/>
  <c r="C97" i="6"/>
  <c r="H97" i="6"/>
  <c r="B98" i="6"/>
  <c r="C98" i="6"/>
  <c r="H98" i="6"/>
  <c r="B99" i="6"/>
  <c r="C99" i="6"/>
  <c r="H99" i="6"/>
  <c r="B100" i="6"/>
  <c r="C100" i="6"/>
  <c r="H100" i="6"/>
  <c r="B101" i="6"/>
  <c r="C101" i="6"/>
  <c r="H101" i="6"/>
  <c r="B102" i="6"/>
  <c r="C102" i="6"/>
  <c r="H102" i="6"/>
  <c r="B103" i="6"/>
  <c r="C103" i="6"/>
  <c r="H103" i="6"/>
  <c r="B104" i="6"/>
  <c r="C104" i="6"/>
  <c r="H104" i="6"/>
  <c r="B105" i="6"/>
  <c r="C105" i="6"/>
  <c r="H105" i="6"/>
  <c r="B106" i="6"/>
  <c r="C106" i="6"/>
  <c r="H106" i="6"/>
  <c r="B107" i="6"/>
  <c r="C107" i="6"/>
  <c r="H107" i="6"/>
  <c r="B108" i="6"/>
  <c r="C108" i="6"/>
  <c r="H108" i="6"/>
  <c r="B109" i="6"/>
  <c r="C109" i="6"/>
  <c r="H109" i="6"/>
  <c r="B110" i="6"/>
  <c r="C110" i="6"/>
  <c r="H110" i="6"/>
  <c r="B111" i="6"/>
  <c r="C111" i="6"/>
  <c r="H111" i="6"/>
  <c r="B112" i="6"/>
  <c r="C112" i="6"/>
  <c r="H112" i="6"/>
  <c r="B113" i="6"/>
  <c r="C113" i="6"/>
  <c r="H113" i="6"/>
  <c r="B114" i="6"/>
  <c r="C114" i="6"/>
  <c r="H114" i="6"/>
  <c r="B115" i="6"/>
  <c r="C115" i="6"/>
  <c r="H115" i="6"/>
  <c r="B116" i="6"/>
  <c r="C116" i="6"/>
  <c r="H116" i="6"/>
  <c r="B117" i="6"/>
  <c r="C117" i="6"/>
  <c r="H117" i="6"/>
  <c r="B118" i="6"/>
  <c r="C118" i="6"/>
  <c r="H118" i="6"/>
  <c r="B119" i="6"/>
  <c r="C119" i="6"/>
  <c r="H119" i="6"/>
  <c r="B120" i="6"/>
  <c r="C120" i="6"/>
  <c r="H120" i="6"/>
  <c r="B121" i="6"/>
  <c r="C121" i="6"/>
  <c r="H121" i="6"/>
  <c r="B122" i="6"/>
  <c r="C122" i="6"/>
  <c r="H122" i="6"/>
  <c r="B123" i="6"/>
  <c r="C123" i="6"/>
  <c r="H123" i="6"/>
  <c r="B124" i="6"/>
  <c r="C124" i="6"/>
  <c r="H124" i="6"/>
  <c r="B125" i="6"/>
  <c r="C125" i="6"/>
  <c r="H125" i="6"/>
  <c r="B126" i="6"/>
  <c r="C126" i="6"/>
  <c r="H126" i="6"/>
  <c r="B127" i="6"/>
  <c r="C127" i="6"/>
  <c r="H127" i="6"/>
  <c r="B128" i="6"/>
  <c r="C128" i="6"/>
  <c r="H128" i="6"/>
  <c r="B129" i="6"/>
  <c r="C129" i="6"/>
  <c r="H129" i="6"/>
  <c r="B130" i="6"/>
  <c r="C130" i="6"/>
  <c r="H130" i="6"/>
  <c r="B131" i="6"/>
  <c r="C131" i="6"/>
  <c r="H131" i="6"/>
  <c r="B132" i="6"/>
  <c r="C132" i="6"/>
  <c r="H132" i="6"/>
  <c r="B133" i="6"/>
  <c r="C133" i="6"/>
  <c r="H133" i="6"/>
  <c r="B134" i="6"/>
  <c r="C134" i="6"/>
  <c r="H134" i="6"/>
  <c r="B135" i="6"/>
  <c r="C135" i="6"/>
  <c r="H135" i="6"/>
  <c r="B136" i="6"/>
  <c r="C136" i="6"/>
  <c r="H136" i="6"/>
  <c r="B137" i="6"/>
  <c r="C137" i="6"/>
  <c r="H137" i="6"/>
  <c r="B138" i="6"/>
  <c r="C138" i="6"/>
  <c r="H138" i="6"/>
  <c r="B139" i="6"/>
  <c r="C139" i="6"/>
  <c r="H139" i="6"/>
  <c r="B140" i="6"/>
  <c r="C140" i="6"/>
  <c r="H140" i="6"/>
  <c r="B141" i="6"/>
  <c r="C141" i="6"/>
  <c r="H141" i="6"/>
  <c r="B142" i="6"/>
  <c r="C142" i="6"/>
  <c r="H142" i="6"/>
  <c r="B143" i="6"/>
  <c r="C143" i="6"/>
  <c r="H143" i="6"/>
  <c r="B144" i="6"/>
  <c r="C144" i="6"/>
  <c r="H144" i="6"/>
  <c r="B145" i="6"/>
  <c r="C145" i="6"/>
  <c r="H145" i="6"/>
  <c r="B146" i="6"/>
  <c r="C146" i="6"/>
  <c r="H146" i="6"/>
  <c r="B147" i="6"/>
  <c r="C147" i="6"/>
  <c r="H147" i="6"/>
  <c r="H148" i="6"/>
  <c r="H149" i="6"/>
  <c r="H150" i="6"/>
  <c r="H151" i="6"/>
  <c r="A12" i="1" l="1"/>
  <c r="A4" i="1"/>
  <c r="A11" i="1"/>
  <c r="A7" i="1"/>
  <c r="A8" i="1"/>
  <c r="A3" i="1"/>
  <c r="A10" i="1"/>
  <c r="A6" i="1"/>
  <c r="A9" i="1"/>
  <c r="A5" i="1"/>
  <c r="C90" i="1"/>
  <c r="C88" i="1"/>
  <c r="C84" i="6"/>
  <c r="C84" i="1" s="1"/>
  <c r="C78" i="6"/>
  <c r="C74" i="6"/>
  <c r="C70" i="6"/>
  <c r="C68" i="6"/>
  <c r="C64" i="6"/>
  <c r="C60" i="6"/>
  <c r="C56" i="6"/>
  <c r="C52" i="6"/>
  <c r="C48" i="6"/>
  <c r="C44" i="6"/>
  <c r="C40" i="6"/>
  <c r="C36" i="6"/>
  <c r="C32" i="6"/>
  <c r="C28" i="6"/>
  <c r="C28" i="1" s="1"/>
  <c r="C85" i="6"/>
  <c r="C85" i="1" s="1"/>
  <c r="C81" i="6"/>
  <c r="C77" i="6"/>
  <c r="C73" i="6"/>
  <c r="C67" i="6"/>
  <c r="C63" i="6"/>
  <c r="C59" i="6"/>
  <c r="C59" i="1" s="1"/>
  <c r="C55" i="6"/>
  <c r="C51" i="6"/>
  <c r="C47" i="6"/>
  <c r="C43" i="6"/>
  <c r="C39" i="6"/>
  <c r="C35" i="6"/>
  <c r="C31" i="6"/>
  <c r="C27" i="6"/>
  <c r="C83" i="6"/>
  <c r="C79" i="6"/>
  <c r="C75" i="6"/>
  <c r="C75" i="1" s="1"/>
  <c r="C71" i="6"/>
  <c r="C69" i="6"/>
  <c r="C65" i="6"/>
  <c r="C61" i="6"/>
  <c r="C57" i="6"/>
  <c r="C53" i="6"/>
  <c r="C49" i="6"/>
  <c r="C45" i="6"/>
  <c r="C41" i="6"/>
  <c r="C37" i="6"/>
  <c r="C33" i="6"/>
  <c r="C29" i="6"/>
  <c r="C86" i="6"/>
  <c r="C86" i="1" s="1"/>
  <c r="C82" i="6"/>
  <c r="C80" i="6"/>
  <c r="C76" i="6"/>
  <c r="C72" i="6"/>
  <c r="C66" i="6"/>
  <c r="C62" i="6"/>
  <c r="C58" i="6"/>
  <c r="C54" i="6"/>
  <c r="C50" i="6"/>
  <c r="C46" i="6"/>
  <c r="C42" i="6"/>
  <c r="C38" i="6"/>
  <c r="C34" i="6"/>
  <c r="C30" i="6"/>
  <c r="C26" i="6"/>
  <c r="C25" i="6"/>
  <c r="C25" i="1" s="1"/>
  <c r="C24" i="6"/>
  <c r="C23" i="6"/>
  <c r="C22" i="6"/>
  <c r="C21" i="6"/>
  <c r="C21" i="1" s="1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8" i="1" s="1"/>
  <c r="C7" i="6"/>
  <c r="C6" i="6"/>
  <c r="C5" i="6"/>
  <c r="C4" i="6"/>
  <c r="C3" i="6"/>
  <c r="C2" i="6"/>
  <c r="C4" i="1" l="1"/>
  <c r="C12" i="1"/>
  <c r="C16" i="1"/>
  <c r="C20" i="1"/>
  <c r="C34" i="1"/>
  <c r="C66" i="1"/>
  <c r="C37" i="1"/>
  <c r="C69" i="1"/>
  <c r="C39" i="1"/>
  <c r="C74" i="1"/>
  <c r="C5" i="1"/>
  <c r="C9" i="1"/>
  <c r="C13" i="1"/>
  <c r="C17" i="1"/>
  <c r="C38" i="1"/>
  <c r="C54" i="1"/>
  <c r="C72" i="1"/>
  <c r="C41" i="1"/>
  <c r="C57" i="1"/>
  <c r="C71" i="1"/>
  <c r="C27" i="1"/>
  <c r="C43" i="1"/>
  <c r="C77" i="1"/>
  <c r="C32" i="1"/>
  <c r="C48" i="1"/>
  <c r="C64" i="1"/>
  <c r="C78" i="1"/>
  <c r="C60" i="1"/>
  <c r="C6" i="1"/>
  <c r="C10" i="1"/>
  <c r="C18" i="1"/>
  <c r="C22" i="1"/>
  <c r="C26" i="1"/>
  <c r="C42" i="1"/>
  <c r="C58" i="1"/>
  <c r="C76" i="1"/>
  <c r="C29" i="1"/>
  <c r="C45" i="1"/>
  <c r="C61" i="1"/>
  <c r="C31" i="1"/>
  <c r="C47" i="1"/>
  <c r="C63" i="1"/>
  <c r="C81" i="1"/>
  <c r="C36" i="1"/>
  <c r="C52" i="1"/>
  <c r="C68" i="1"/>
  <c r="C24" i="1"/>
  <c r="C50" i="1"/>
  <c r="C82" i="1"/>
  <c r="C53" i="1"/>
  <c r="C83" i="1"/>
  <c r="C55" i="1"/>
  <c r="C73" i="1"/>
  <c r="C44" i="1"/>
  <c r="C2" i="1"/>
  <c r="C14" i="1"/>
  <c r="C3" i="1"/>
  <c r="C7" i="1"/>
  <c r="C11" i="1"/>
  <c r="C15" i="1"/>
  <c r="C19" i="1"/>
  <c r="C23" i="1"/>
  <c r="C30" i="1"/>
  <c r="C46" i="1"/>
  <c r="C62" i="1"/>
  <c r="C80" i="1"/>
  <c r="C33" i="1"/>
  <c r="C49" i="1"/>
  <c r="C65" i="1"/>
  <c r="C79" i="1"/>
  <c r="C35" i="1"/>
  <c r="C51" i="1"/>
  <c r="C67" i="1"/>
  <c r="C40" i="1"/>
  <c r="C56" i="1"/>
  <c r="C7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GAB179A</author>
  </authors>
  <commentList>
    <comment ref="I1" authorId="0" shapeId="0" xr:uid="{255A41D8-0727-4099-83CB-6DC250F40DC1}">
      <text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Modelo de Cobrança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1 - Sem aviso de Cartório
2- Com avios de Cártório</t>
        </r>
      </text>
    </comment>
  </commentList>
</comments>
</file>

<file path=xl/sharedStrings.xml><?xml version="1.0" encoding="utf-8"?>
<sst xmlns="http://schemas.openxmlformats.org/spreadsheetml/2006/main" count="435" uniqueCount="51">
  <si>
    <t>E-mail</t>
  </si>
  <si>
    <t>CNPJ</t>
  </si>
  <si>
    <t>NOME</t>
  </si>
  <si>
    <t>FILIAL</t>
  </si>
  <si>
    <t>Cte</t>
  </si>
  <si>
    <t>tipo</t>
  </si>
  <si>
    <t>Email</t>
  </si>
  <si>
    <t xml:space="preserve"> </t>
  </si>
  <si>
    <t>VENCIMENTO</t>
  </si>
  <si>
    <t>VALOR</t>
  </si>
  <si>
    <t>LINHAS</t>
  </si>
  <si>
    <t>modelo de Cobrança</t>
  </si>
  <si>
    <t>Sem aviso Cartório</t>
  </si>
  <si>
    <t>00000000000001</t>
  </si>
  <si>
    <t>00000000000002</t>
  </si>
  <si>
    <t>00000000000003</t>
  </si>
  <si>
    <t>00000000000004</t>
  </si>
  <si>
    <t>00000000000005</t>
  </si>
  <si>
    <t>00000000000006</t>
  </si>
  <si>
    <t>00000000000007</t>
  </si>
  <si>
    <t>00000000000008</t>
  </si>
  <si>
    <t>00000000000009</t>
  </si>
  <si>
    <t>00000000000010</t>
  </si>
  <si>
    <t>00000000000011</t>
  </si>
  <si>
    <t>Nome</t>
  </si>
  <si>
    <t>CLIENTE 01</t>
  </si>
  <si>
    <t>CLIENTE 02</t>
  </si>
  <si>
    <t>CLIENTE 03</t>
  </si>
  <si>
    <t>CLIENTE 04</t>
  </si>
  <si>
    <t>CLIENTE 05</t>
  </si>
  <si>
    <t>CLIENTE 06</t>
  </si>
  <si>
    <t>CLIENTE 07</t>
  </si>
  <si>
    <t>CLIENTE 08</t>
  </si>
  <si>
    <t>CLIENTE 09</t>
  </si>
  <si>
    <t>CLIENTE 10</t>
  </si>
  <si>
    <t>CLIENTE 11</t>
  </si>
  <si>
    <t>cliente01@cliente01.com.br</t>
  </si>
  <si>
    <t>cliente02@cliente02.com.br</t>
  </si>
  <si>
    <t>cliente03@cliente03.com.br</t>
  </si>
  <si>
    <t>cliente04@cliente04.com.br</t>
  </si>
  <si>
    <t>cliente05@cliente05.com.br</t>
  </si>
  <si>
    <t>cliente06@cliente06.com.br</t>
  </si>
  <si>
    <t>cliente07@cliente07.com.br</t>
  </si>
  <si>
    <t>cliente08@cliente08.com.br</t>
  </si>
  <si>
    <t>cliente09@cliente09.com.br</t>
  </si>
  <si>
    <t>cliente10@cliente10.com.br</t>
  </si>
  <si>
    <t>cliente11@cliente11.com.br</t>
  </si>
  <si>
    <t>a</t>
  </si>
  <si>
    <t>c</t>
  </si>
  <si>
    <t>b</t>
  </si>
  <si>
    <t>Com aviso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</si>
</sst>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rgb="FF000000"/>
      <name val="Calibri"/>
      <family val="2"/>
      <charset val="1"/>
    </font>
    <font>
      <b/>
      <sz val="11"/>
      <color rgb="FFFFFFFF"/>
      <name val="Calibri"/>
      <family val="2"/>
      <charset val="1"/>
    </font>
    <font>
      <u/>
      <sz val="11"/>
      <color rgb="FF0563C1"/>
      <name val="Calibri"/>
      <family val="2"/>
      <charset val="1"/>
    </font>
    <font>
      <sz val="10"/>
      <name val="Arial"/>
      <family val="2"/>
    </font>
    <font>
      <b/>
      <sz val="11"/>
      <name val="Segoe UI"/>
      <family val="2"/>
    </font>
    <font>
      <sz val="11"/>
      <name val="Segoe UI"/>
      <family val="2"/>
    </font>
    <font>
      <sz val="8"/>
      <name val="Calibri"/>
      <family val="2"/>
      <charset val="1"/>
    </font>
    <font>
      <sz val="11"/>
      <color theme="1"/>
      <name val="Segoe U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  <charset val="1"/>
    </font>
    <font>
      <b/>
      <sz val="11"/>
      <color indexed="81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  <bgColor rgb="FF808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/>
      <right/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2" fillId="0" borderId="0" applyBorder="0" applyProtection="0"/>
    <xf numFmtId="0" fontId="3" fillId="0" borderId="0"/>
  </cellStyleXfs>
  <cellXfs count="45">
    <xf numFmtId="0" fontId="0" fillId="0" borderId="0" xfId="0"/>
    <xf numFmtId="0" fontId="2" fillId="0" borderId="1" xfId="1" applyBorder="1" applyProtection="1"/>
    <xf numFmtId="0" fontId="1" fillId="2" borderId="1" xfId="0" applyFont="1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1" fillId="2" borderId="1" xfId="0" applyFont="1" applyFill="1" applyBorder="1" applyAlignment="1">
      <alignment horizontal="center"/>
    </xf>
    <xf numFmtId="0" fontId="5" fillId="0" borderId="1" xfId="2" applyFont="1" applyBorder="1" applyAlignment="1">
      <alignment horizontal="left" vertical="top"/>
    </xf>
    <xf numFmtId="0" fontId="4" fillId="3" borderId="2" xfId="2" applyFont="1" applyFill="1" applyBorder="1" applyAlignment="1">
      <alignment horizontal="left" vertical="top"/>
    </xf>
    <xf numFmtId="0" fontId="5" fillId="0" borderId="2" xfId="2" applyFont="1" applyBorder="1" applyAlignment="1">
      <alignment horizontal="left" vertical="top"/>
    </xf>
    <xf numFmtId="49" fontId="1" fillId="2" borderId="1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14" fontId="1" fillId="2" borderId="1" xfId="0" applyNumberFormat="1" applyFont="1" applyFill="1" applyBorder="1" applyAlignment="1" applyProtection="1">
      <alignment horizontal="center"/>
      <protection locked="0"/>
    </xf>
    <xf numFmtId="14" fontId="0" fillId="0" borderId="1" xfId="0" applyNumberFormat="1" applyBorder="1" applyProtection="1">
      <protection locked="0"/>
    </xf>
    <xf numFmtId="14" fontId="0" fillId="0" borderId="0" xfId="0" applyNumberFormat="1" applyProtection="1">
      <protection locked="0"/>
    </xf>
    <xf numFmtId="1" fontId="7" fillId="0" borderId="1" xfId="0" applyNumberFormat="1" applyFont="1" applyBorder="1" applyAlignment="1">
      <alignment horizontal="left" vertical="center"/>
    </xf>
    <xf numFmtId="49" fontId="0" fillId="0" borderId="1" xfId="0" applyNumberFormat="1" applyBorder="1" applyProtection="1">
      <protection locked="0"/>
    </xf>
    <xf numFmtId="0" fontId="0" fillId="0" borderId="1" xfId="0" applyBorder="1" applyProtection="1">
      <protection locked="0"/>
    </xf>
    <xf numFmtId="1" fontId="7" fillId="0" borderId="1" xfId="0" applyNumberFormat="1" applyFont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1" xfId="0" applyBorder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49" fontId="1" fillId="2" borderId="1" xfId="0" applyNumberFormat="1" applyFont="1" applyFill="1" applyBorder="1" applyAlignment="1" applyProtection="1">
      <alignment vertical="center"/>
      <protection locked="0"/>
    </xf>
    <xf numFmtId="0" fontId="0" fillId="0" borderId="3" xfId="0" applyBorder="1" applyProtection="1">
      <protection locked="0"/>
    </xf>
    <xf numFmtId="49" fontId="5" fillId="0" borderId="1" xfId="2" applyNumberFormat="1" applyFont="1" applyBorder="1" applyAlignment="1">
      <alignment horizontal="left" vertical="top"/>
    </xf>
    <xf numFmtId="49" fontId="5" fillId="0" borderId="2" xfId="2" applyNumberFormat="1" applyFont="1" applyBorder="1" applyAlignment="1">
      <alignment horizontal="left" vertical="top"/>
    </xf>
    <xf numFmtId="0" fontId="10" fillId="0" borderId="0" xfId="0" applyFont="1" applyProtection="1">
      <protection locked="0"/>
    </xf>
    <xf numFmtId="0" fontId="5" fillId="0" borderId="2" xfId="2" applyFont="1" applyBorder="1" applyAlignment="1" applyProtection="1">
      <alignment horizontal="left" vertical="top"/>
      <protection locked="0"/>
    </xf>
    <xf numFmtId="0" fontId="2" fillId="0" borderId="2" xfId="1" applyBorder="1" applyProtection="1">
      <protection locked="0"/>
    </xf>
    <xf numFmtId="0" fontId="4" fillId="3" borderId="4" xfId="2" applyFont="1" applyFill="1" applyBorder="1" applyAlignment="1" applyProtection="1">
      <alignment horizontal="left" vertical="top"/>
      <protection locked="0"/>
    </xf>
    <xf numFmtId="0" fontId="4" fillId="3" borderId="2" xfId="2" applyFont="1" applyFill="1" applyBorder="1" applyAlignment="1" applyProtection="1">
      <alignment horizontal="left" vertical="top"/>
      <protection locked="0"/>
    </xf>
    <xf numFmtId="49" fontId="4" fillId="3" borderId="2" xfId="2" applyNumberFormat="1" applyFont="1" applyFill="1" applyBorder="1" applyAlignment="1" applyProtection="1">
      <alignment horizontal="left" vertical="top"/>
      <protection locked="0"/>
    </xf>
    <xf numFmtId="49" fontId="5" fillId="0" borderId="5" xfId="2" applyNumberFormat="1" applyFont="1" applyBorder="1" applyAlignment="1">
      <alignment horizontal="left" vertical="top"/>
    </xf>
    <xf numFmtId="0" fontId="2" fillId="0" borderId="6" xfId="1" applyBorder="1" applyProtection="1">
      <protection locked="0"/>
    </xf>
    <xf numFmtId="0" fontId="5" fillId="0" borderId="6" xfId="2" applyFont="1" applyBorder="1" applyAlignment="1" applyProtection="1">
      <alignment horizontal="left" vertical="top"/>
      <protection locked="0"/>
    </xf>
    <xf numFmtId="0" fontId="5" fillId="0" borderId="0" xfId="2" applyFont="1" applyBorder="1" applyAlignment="1">
      <alignment horizontal="left" vertical="top"/>
    </xf>
    <xf numFmtId="0" fontId="0" fillId="0" borderId="0" xfId="0" applyBorder="1" applyProtection="1">
      <protection locked="0"/>
    </xf>
    <xf numFmtId="0" fontId="5" fillId="0" borderId="0" xfId="2" applyFont="1" applyBorder="1" applyAlignment="1" applyProtection="1">
      <alignment horizontal="left" vertical="top"/>
      <protection locked="0"/>
    </xf>
    <xf numFmtId="0" fontId="10" fillId="0" borderId="0" xfId="0" applyFont="1" applyBorder="1" applyProtection="1">
      <protection locked="0"/>
    </xf>
    <xf numFmtId="49" fontId="5" fillId="0" borderId="0" xfId="2" applyNumberFormat="1" applyFont="1" applyBorder="1" applyAlignment="1">
      <alignment horizontal="left" vertical="top"/>
    </xf>
    <xf numFmtId="49" fontId="0" fillId="0" borderId="0" xfId="0" applyNumberFormat="1" applyBorder="1" applyProtection="1">
      <protection locked="0"/>
    </xf>
    <xf numFmtId="0" fontId="0" fillId="0" borderId="0" xfId="0" applyBorder="1"/>
    <xf numFmtId="49" fontId="5" fillId="0" borderId="0" xfId="2" applyNumberFormat="1" applyFont="1" applyBorder="1" applyAlignment="1" applyProtection="1">
      <alignment horizontal="left" vertical="top"/>
      <protection locked="0"/>
    </xf>
    <xf numFmtId="0" fontId="2" fillId="0" borderId="0" xfId="1" applyBorder="1" applyProtection="1">
      <protection locked="0"/>
    </xf>
    <xf numFmtId="0" fontId="0" fillId="0" borderId="7" xfId="0" applyBorder="1" applyProtection="1">
      <protection locked="0"/>
    </xf>
    <xf numFmtId="0" fontId="0" fillId="4" borderId="1" xfId="0" applyFill="1" applyBorder="1" applyAlignment="1" applyProtection="1">
      <alignment vertical="center"/>
      <protection locked="0"/>
    </xf>
    <xf numFmtId="0" fontId="0" fillId="4" borderId="1" xfId="0" applyFill="1" applyBorder="1" applyProtection="1">
      <protection locked="0"/>
    </xf>
  </cellXfs>
  <cellStyles count="3">
    <cellStyle name="Hiperlink" xfId="1" builtinId="8"/>
    <cellStyle name="Normal" xfId="0" builtinId="0"/>
    <cellStyle name="Normal 2" xfId="2" xr:uid="{C8379A71-C01C-45B5-B613-3CA64EAD4465}"/>
  </cellStyles>
  <dxfs count="3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BF90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39689</xdr:colOff>
      <xdr:row>2</xdr:row>
      <xdr:rowOff>0</xdr:rowOff>
    </xdr:from>
    <xdr:to>
      <xdr:col>11</xdr:col>
      <xdr:colOff>506016</xdr:colOff>
      <xdr:row>5</xdr:row>
      <xdr:rowOff>168672</xdr:rowOff>
    </xdr:to>
    <xdr:sp macro="[0]!enviar_email" textlink="">
      <xdr:nvSpPr>
        <xdr:cNvPr id="2" name="CustomSha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150080" y="396875"/>
          <a:ext cx="1637108" cy="793750"/>
        </a:xfrm>
        <a:prstGeom prst="roundRect">
          <a:avLst>
            <a:gd name="adj" fmla="val 16667"/>
          </a:avLst>
        </a:prstGeom>
        <a:solidFill>
          <a:schemeClr val="accent1"/>
        </a:solidFill>
        <a:ln>
          <a:noFill/>
        </a:ln>
        <a:effectLst>
          <a:outerShdw blurRad="44450" dist="2808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/>
      </xdr:style>
      <xdr:txBody>
        <a:bodyPr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100" b="1" strike="noStrike" spc="-1">
              <a:solidFill>
                <a:srgbClr val="FFFFFF"/>
              </a:solidFill>
              <a:latin typeface="Arial"/>
            </a:rPr>
            <a:t>Enviar CTes</a:t>
          </a:r>
          <a:endParaRPr lang="pt-BR" sz="1100" b="0" strike="noStrike" spc="-1">
            <a:latin typeface="Times New Roman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transgabardo-my.sharepoint.com/personal/evandro_motta_transgabardo_com_br/Documents/BOLETOS%20e%20FATURAS/BOLETOS/2022/06%20JUN/30/Enviar%20E-mail%20Gabardo%2030-06.xlsm" TargetMode="External"/><Relationship Id="rId1" Type="http://schemas.openxmlformats.org/officeDocument/2006/relationships/externalLinkPath" Target="/personal/evandro_motta_transgabardo_com_br/Documents/BOLETOS%20e%20FATURAS/BOLETOS/2022/06%20JUN/30/Enviar%20E-mail%20Gabardo%2030-0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nvio de CTes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liente1@cliente.com.br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cliente07@cliente07.com.br" TargetMode="External"/><Relationship Id="rId13" Type="http://schemas.openxmlformats.org/officeDocument/2006/relationships/printerSettings" Target="../printerSettings/printerSettings2.bin"/><Relationship Id="rId3" Type="http://schemas.openxmlformats.org/officeDocument/2006/relationships/hyperlink" Target="mailto:cliente02@cliente02.com.br" TargetMode="External"/><Relationship Id="rId7" Type="http://schemas.openxmlformats.org/officeDocument/2006/relationships/hyperlink" Target="mailto:cliente06@cliente06.com.br" TargetMode="External"/><Relationship Id="rId12" Type="http://schemas.openxmlformats.org/officeDocument/2006/relationships/hyperlink" Target="mailto:cliente11@cliente11.com.br" TargetMode="External"/><Relationship Id="rId2" Type="http://schemas.openxmlformats.org/officeDocument/2006/relationships/hyperlink" Target="mailto:cliente1@cliente1.com.br" TargetMode="External"/><Relationship Id="rId1" Type="http://schemas.openxmlformats.org/officeDocument/2006/relationships/hyperlink" Target="mailto:cliente01@cliente01.com.br" TargetMode="External"/><Relationship Id="rId6" Type="http://schemas.openxmlformats.org/officeDocument/2006/relationships/hyperlink" Target="mailto:cliente05@cliente05.com.br" TargetMode="External"/><Relationship Id="rId11" Type="http://schemas.openxmlformats.org/officeDocument/2006/relationships/hyperlink" Target="mailto:cliente10@cliente10.com.br" TargetMode="External"/><Relationship Id="rId5" Type="http://schemas.openxmlformats.org/officeDocument/2006/relationships/hyperlink" Target="mailto:cliente04@cliente04.com.br" TargetMode="External"/><Relationship Id="rId10" Type="http://schemas.openxmlformats.org/officeDocument/2006/relationships/hyperlink" Target="mailto:cliente09@cliente09.com.br" TargetMode="External"/><Relationship Id="rId4" Type="http://schemas.openxmlformats.org/officeDocument/2006/relationships/hyperlink" Target="mailto:cliente03@cliente03.com.br" TargetMode="External"/><Relationship Id="rId9" Type="http://schemas.openxmlformats.org/officeDocument/2006/relationships/hyperlink" Target="mailto:cliente08@cliente08.com.b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N91"/>
  <sheetViews>
    <sheetView showGridLines="0" showZeros="0" tabSelected="1" zoomScale="96" zoomScaleNormal="96" workbookViewId="0">
      <selection activeCell="M2" sqref="M2:M3"/>
    </sheetView>
  </sheetViews>
  <sheetFormatPr defaultColWidth="8.7109375" defaultRowHeight="15" x14ac:dyDescent="0.25"/>
  <cols>
    <col min="1" max="1" width="25.5703125" customWidth="1"/>
    <col min="2" max="2" width="20.7109375" style="9" customWidth="1"/>
    <col min="3" max="3" width="34" customWidth="1"/>
    <col min="4" max="4" width="7" style="17" customWidth="1"/>
    <col min="5" max="6" width="10.5703125" style="3" customWidth="1"/>
    <col min="7" max="7" width="13.42578125" style="12" customWidth="1"/>
    <col min="8" max="8" width="16.140625" style="9" customWidth="1"/>
    <col min="9" max="9" width="13.85546875" style="19" customWidth="1"/>
    <col min="10" max="16384" width="8.7109375" style="3"/>
  </cols>
  <sheetData>
    <row r="1" spans="1:14" x14ac:dyDescent="0.25">
      <c r="A1" s="4" t="s">
        <v>0</v>
      </c>
      <c r="B1" s="8" t="s">
        <v>1</v>
      </c>
      <c r="C1" s="4" t="s">
        <v>2</v>
      </c>
      <c r="D1" s="2" t="s">
        <v>3</v>
      </c>
      <c r="E1" s="2" t="s">
        <v>4</v>
      </c>
      <c r="F1" s="2" t="s">
        <v>5</v>
      </c>
      <c r="G1" s="10" t="s">
        <v>8</v>
      </c>
      <c r="H1" s="8" t="s">
        <v>9</v>
      </c>
      <c r="I1" s="20" t="s">
        <v>11</v>
      </c>
      <c r="J1" s="8" t="s">
        <v>10</v>
      </c>
    </row>
    <row r="2" spans="1:14" ht="16.5" x14ac:dyDescent="0.3">
      <c r="A2" s="1" t="str">
        <f>'Catálogo de e-mails'!A2</f>
        <v>CLIENTE 01</v>
      </c>
      <c r="B2" s="22" t="s">
        <v>13</v>
      </c>
      <c r="C2" s="5" t="str">
        <f>'Catálogo de e-mails'!C2</f>
        <v>cliente01@cliente01.com.br</v>
      </c>
      <c r="D2" s="16" t="s">
        <v>47</v>
      </c>
      <c r="E2" s="13">
        <v>1</v>
      </c>
      <c r="F2" s="13">
        <v>2</v>
      </c>
      <c r="G2" s="11">
        <v>44956</v>
      </c>
      <c r="H2" s="14">
        <v>7125</v>
      </c>
      <c r="I2" s="18">
        <v>1</v>
      </c>
      <c r="J2" s="21">
        <v>20</v>
      </c>
      <c r="K2" s="15"/>
      <c r="L2" s="42"/>
      <c r="M2" s="43">
        <v>1</v>
      </c>
      <c r="N2" s="3" t="s">
        <v>12</v>
      </c>
    </row>
    <row r="3" spans="1:14" ht="16.5" x14ac:dyDescent="0.3">
      <c r="A3" s="1" t="str">
        <f>'Catálogo de e-mails'!A3</f>
        <v>CLIENTE 02</v>
      </c>
      <c r="B3" s="22" t="s">
        <v>14</v>
      </c>
      <c r="C3" s="5" t="str">
        <f>'Catálogo de e-mails'!C3</f>
        <v>cliente02@cliente02.com.br</v>
      </c>
      <c r="D3" s="16" t="s">
        <v>49</v>
      </c>
      <c r="E3" s="13">
        <v>2</v>
      </c>
      <c r="F3" s="13">
        <v>2</v>
      </c>
      <c r="G3" s="11">
        <v>44956</v>
      </c>
      <c r="H3" s="14">
        <v>7125</v>
      </c>
      <c r="I3" s="18">
        <v>1</v>
      </c>
      <c r="K3" s="15"/>
      <c r="L3" s="34"/>
      <c r="M3" s="44">
        <v>2</v>
      </c>
      <c r="N3" s="3" t="s">
        <v>50</v>
      </c>
    </row>
    <row r="4" spans="1:14" ht="16.5" x14ac:dyDescent="0.3">
      <c r="A4" s="1" t="str">
        <f>'Catálogo de e-mails'!A4</f>
        <v>CLIENTE 03</v>
      </c>
      <c r="B4" s="22" t="s">
        <v>15</v>
      </c>
      <c r="C4" s="5" t="str">
        <f>'Catálogo de e-mails'!C4</f>
        <v>cliente03@cliente03.com.br</v>
      </c>
      <c r="D4" s="16" t="s">
        <v>48</v>
      </c>
      <c r="E4" s="13">
        <v>3</v>
      </c>
      <c r="F4" s="13">
        <v>2</v>
      </c>
      <c r="G4" s="11">
        <v>44956</v>
      </c>
      <c r="H4" s="14">
        <v>7125</v>
      </c>
      <c r="I4" s="18">
        <v>1</v>
      </c>
      <c r="K4" s="15"/>
      <c r="L4" s="34"/>
    </row>
    <row r="5" spans="1:14" ht="16.5" x14ac:dyDescent="0.3">
      <c r="A5" s="1" t="str">
        <f>'Catálogo de e-mails'!A5</f>
        <v>CLIENTE 04</v>
      </c>
      <c r="B5" s="22" t="s">
        <v>16</v>
      </c>
      <c r="C5" s="5" t="str">
        <f>'Catálogo de e-mails'!C5</f>
        <v>cliente04@cliente04.com.br</v>
      </c>
      <c r="D5" s="16" t="s">
        <v>47</v>
      </c>
      <c r="E5" s="13">
        <v>4</v>
      </c>
      <c r="F5" s="13">
        <v>2</v>
      </c>
      <c r="G5" s="11">
        <v>44956</v>
      </c>
      <c r="H5" s="14">
        <v>7125</v>
      </c>
      <c r="I5" s="18">
        <v>1</v>
      </c>
      <c r="K5" s="15"/>
      <c r="L5" s="34"/>
    </row>
    <row r="6" spans="1:14" ht="16.5" x14ac:dyDescent="0.3">
      <c r="A6" s="1" t="str">
        <f>'Catálogo de e-mails'!A6</f>
        <v>CLIENTE 05</v>
      </c>
      <c r="B6" s="22" t="s">
        <v>17</v>
      </c>
      <c r="C6" s="5" t="str">
        <f>'Catálogo de e-mails'!C6</f>
        <v>cliente05@cliente05.com.br</v>
      </c>
      <c r="D6" s="16" t="s">
        <v>49</v>
      </c>
      <c r="E6" s="13">
        <v>5</v>
      </c>
      <c r="F6" s="13">
        <v>2</v>
      </c>
      <c r="G6" s="11">
        <v>44956</v>
      </c>
      <c r="H6" s="14">
        <v>7125</v>
      </c>
      <c r="I6" s="18">
        <v>1</v>
      </c>
      <c r="K6" s="15"/>
      <c r="L6" s="34"/>
    </row>
    <row r="7" spans="1:14" ht="16.5" x14ac:dyDescent="0.3">
      <c r="A7" s="1" t="str">
        <f>'Catálogo de e-mails'!A7</f>
        <v>CLIENTE 06</v>
      </c>
      <c r="B7" s="22" t="s">
        <v>18</v>
      </c>
      <c r="C7" s="5" t="str">
        <f>'Catálogo de e-mails'!C7</f>
        <v>cliente06@cliente06.com.br</v>
      </c>
      <c r="D7" s="16" t="s">
        <v>48</v>
      </c>
      <c r="E7" s="13">
        <v>6</v>
      </c>
      <c r="F7" s="13">
        <v>2</v>
      </c>
      <c r="G7" s="11">
        <v>44956</v>
      </c>
      <c r="H7" s="14">
        <v>7125</v>
      </c>
      <c r="I7" s="18">
        <v>2</v>
      </c>
      <c r="K7" s="15"/>
      <c r="L7" s="34"/>
    </row>
    <row r="8" spans="1:14" ht="16.5" x14ac:dyDescent="0.3">
      <c r="A8" s="1" t="str">
        <f>'Catálogo de e-mails'!A8</f>
        <v>CLIENTE 07</v>
      </c>
      <c r="B8" s="22" t="s">
        <v>19</v>
      </c>
      <c r="C8" s="5" t="str">
        <f>'Catálogo de e-mails'!C8</f>
        <v>cliente07@cliente07.com.br</v>
      </c>
      <c r="D8" s="16" t="s">
        <v>47</v>
      </c>
      <c r="E8" s="13">
        <v>7</v>
      </c>
      <c r="F8" s="13">
        <v>2</v>
      </c>
      <c r="G8" s="11">
        <v>44957</v>
      </c>
      <c r="H8" s="14">
        <v>14250</v>
      </c>
      <c r="I8" s="18">
        <v>1</v>
      </c>
      <c r="K8" s="15"/>
      <c r="L8" s="34"/>
    </row>
    <row r="9" spans="1:14" ht="16.5" x14ac:dyDescent="0.3">
      <c r="A9" s="1" t="str">
        <f>'Catálogo de e-mails'!A9</f>
        <v>CLIENTE 08</v>
      </c>
      <c r="B9" s="22" t="s">
        <v>20</v>
      </c>
      <c r="C9" s="5" t="str">
        <f>'Catálogo de e-mails'!C9</f>
        <v>cliente08@cliente08.com.br</v>
      </c>
      <c r="D9" s="16" t="s">
        <v>49</v>
      </c>
      <c r="E9" s="13">
        <v>8</v>
      </c>
      <c r="F9" s="13">
        <v>2</v>
      </c>
      <c r="G9" s="11">
        <v>44959</v>
      </c>
      <c r="H9" s="14">
        <v>7125</v>
      </c>
      <c r="I9" s="18">
        <v>1</v>
      </c>
      <c r="K9" s="15"/>
      <c r="L9" s="34"/>
    </row>
    <row r="10" spans="1:14" ht="16.5" x14ac:dyDescent="0.3">
      <c r="A10" s="1" t="str">
        <f>'Catálogo de e-mails'!A10</f>
        <v>CLIENTE 09</v>
      </c>
      <c r="B10" s="22" t="s">
        <v>21</v>
      </c>
      <c r="C10" s="5" t="str">
        <f>'Catálogo de e-mails'!C10</f>
        <v>cliente09@cliente09.com.br</v>
      </c>
      <c r="D10" s="16" t="s">
        <v>48</v>
      </c>
      <c r="E10" s="13">
        <v>9</v>
      </c>
      <c r="F10" s="13">
        <v>2</v>
      </c>
      <c r="G10" s="11">
        <v>44959</v>
      </c>
      <c r="H10" s="14">
        <v>7125</v>
      </c>
      <c r="I10" s="18">
        <v>1</v>
      </c>
      <c r="K10" s="15"/>
      <c r="L10" s="34"/>
    </row>
    <row r="11" spans="1:14" ht="16.5" x14ac:dyDescent="0.3">
      <c r="A11" s="1" t="str">
        <f>'Catálogo de e-mails'!A11</f>
        <v>CLIENTE 10</v>
      </c>
      <c r="B11" s="22" t="s">
        <v>22</v>
      </c>
      <c r="C11" s="5" t="str">
        <f>'Catálogo de e-mails'!C11</f>
        <v>cliente10@cliente10.com.br</v>
      </c>
      <c r="D11" s="16" t="s">
        <v>47</v>
      </c>
      <c r="E11" s="13">
        <v>10</v>
      </c>
      <c r="F11" s="13">
        <v>2</v>
      </c>
      <c r="G11" s="11">
        <v>44960</v>
      </c>
      <c r="H11" s="14">
        <v>7125</v>
      </c>
      <c r="I11" s="18">
        <v>1</v>
      </c>
      <c r="K11" s="15"/>
      <c r="L11" s="34"/>
    </row>
    <row r="12" spans="1:14" ht="16.5" x14ac:dyDescent="0.3">
      <c r="A12" s="1" t="str">
        <f>'Catálogo de e-mails'!A12</f>
        <v>CLIENTE 11</v>
      </c>
      <c r="B12" s="22" t="s">
        <v>23</v>
      </c>
      <c r="C12" s="5" t="str">
        <f>'Catálogo de e-mails'!C12</f>
        <v>cliente11@cliente11.com.br</v>
      </c>
      <c r="D12" s="16" t="s">
        <v>49</v>
      </c>
      <c r="E12" s="13">
        <v>11</v>
      </c>
      <c r="F12" s="13">
        <v>2</v>
      </c>
      <c r="G12" s="11">
        <v>44960</v>
      </c>
      <c r="H12" s="14">
        <v>7125</v>
      </c>
      <c r="I12" s="18">
        <v>1</v>
      </c>
      <c r="K12" s="15"/>
      <c r="L12" s="34"/>
    </row>
    <row r="13" spans="1:14" ht="16.5" x14ac:dyDescent="0.3">
      <c r="A13" s="1" t="str">
        <f>'Catálogo de e-mails'!A13</f>
        <v>CLIENTE 11</v>
      </c>
      <c r="B13" s="22" t="s">
        <v>23</v>
      </c>
      <c r="C13" s="5" t="str">
        <f>'Catálogo de e-mails'!C13</f>
        <v>cliente11@cliente11.com.br</v>
      </c>
      <c r="D13" s="16" t="s">
        <v>48</v>
      </c>
      <c r="E13" s="13">
        <v>12</v>
      </c>
      <c r="F13" s="13">
        <v>2</v>
      </c>
      <c r="G13" s="11">
        <v>44956</v>
      </c>
      <c r="H13" s="14">
        <v>8161.3636363636397</v>
      </c>
      <c r="I13" s="18">
        <v>1</v>
      </c>
      <c r="K13" s="15"/>
      <c r="L13" s="34"/>
    </row>
    <row r="14" spans="1:14" ht="16.5" x14ac:dyDescent="0.3">
      <c r="A14" s="1" t="str">
        <f>'Catálogo de e-mails'!A14</f>
        <v>CLIENTE 11</v>
      </c>
      <c r="B14" s="22" t="s">
        <v>23</v>
      </c>
      <c r="C14" s="5" t="str">
        <f>'Catálogo de e-mails'!C14</f>
        <v>cliente11@cliente11.com.br</v>
      </c>
      <c r="D14" s="16" t="s">
        <v>47</v>
      </c>
      <c r="E14" s="13">
        <v>13</v>
      </c>
      <c r="F14" s="13">
        <v>2</v>
      </c>
      <c r="G14" s="11">
        <v>44956</v>
      </c>
      <c r="H14" s="14">
        <v>8226.1363636363603</v>
      </c>
      <c r="I14" s="18">
        <v>1</v>
      </c>
      <c r="K14" s="15"/>
      <c r="L14" s="34"/>
    </row>
    <row r="15" spans="1:14" ht="16.5" x14ac:dyDescent="0.3">
      <c r="A15" s="1" t="str">
        <f>'Catálogo de e-mails'!A15</f>
        <v>CLIENTE 11</v>
      </c>
      <c r="B15" s="22" t="s">
        <v>23</v>
      </c>
      <c r="C15" s="5" t="str">
        <f>'Catálogo de e-mails'!C15</f>
        <v>cliente11@cliente11.com.br</v>
      </c>
      <c r="D15" s="16" t="s">
        <v>49</v>
      </c>
      <c r="E15" s="13">
        <v>14</v>
      </c>
      <c r="F15" s="13">
        <v>2</v>
      </c>
      <c r="G15" s="11">
        <v>44956</v>
      </c>
      <c r="H15" s="14">
        <v>8290.9090909090901</v>
      </c>
      <c r="I15" s="18">
        <v>1</v>
      </c>
      <c r="K15" s="15"/>
      <c r="L15" s="34"/>
    </row>
    <row r="16" spans="1:14" ht="16.5" x14ac:dyDescent="0.3">
      <c r="A16" s="1" t="str">
        <f>'Catálogo de e-mails'!A16</f>
        <v>CLIENTE 11</v>
      </c>
      <c r="B16" s="22" t="s">
        <v>23</v>
      </c>
      <c r="C16" s="5" t="str">
        <f>'Catálogo de e-mails'!C16</f>
        <v>cliente11@cliente11.com.br</v>
      </c>
      <c r="D16" s="16" t="s">
        <v>48</v>
      </c>
      <c r="E16" s="13">
        <v>15</v>
      </c>
      <c r="F16" s="13">
        <v>2</v>
      </c>
      <c r="G16" s="11">
        <v>44956</v>
      </c>
      <c r="H16" s="14">
        <v>8355.6818181818198</v>
      </c>
      <c r="I16" s="18">
        <v>1</v>
      </c>
      <c r="K16" s="15"/>
      <c r="L16" s="34"/>
    </row>
    <row r="17" spans="1:12" ht="16.5" x14ac:dyDescent="0.3">
      <c r="A17" s="1" t="str">
        <f>'Catálogo de e-mails'!A17</f>
        <v>CLIENTE 11</v>
      </c>
      <c r="B17" s="22" t="s">
        <v>23</v>
      </c>
      <c r="C17" s="5" t="str">
        <f>'Catálogo de e-mails'!C17</f>
        <v>cliente11@cliente11.com.br</v>
      </c>
      <c r="D17" s="16" t="s">
        <v>47</v>
      </c>
      <c r="E17" s="13">
        <v>16</v>
      </c>
      <c r="F17" s="13">
        <v>2</v>
      </c>
      <c r="G17" s="11">
        <v>44956</v>
      </c>
      <c r="H17" s="14">
        <v>8420.4545454545405</v>
      </c>
      <c r="I17" s="18">
        <v>1</v>
      </c>
      <c r="K17" s="15"/>
      <c r="L17" s="34"/>
    </row>
    <row r="18" spans="1:12" ht="16.5" x14ac:dyDescent="0.3">
      <c r="A18" s="1" t="str">
        <f>'Catálogo de e-mails'!A18</f>
        <v>CLIENTE 11</v>
      </c>
      <c r="B18" s="22" t="s">
        <v>23</v>
      </c>
      <c r="C18" s="5" t="str">
        <f>'Catálogo de e-mails'!C18</f>
        <v>cliente11@cliente11.com.br</v>
      </c>
      <c r="D18" s="16" t="s">
        <v>49</v>
      </c>
      <c r="E18" s="13">
        <v>17</v>
      </c>
      <c r="F18" s="13">
        <v>2</v>
      </c>
      <c r="G18" s="11">
        <v>44956</v>
      </c>
      <c r="H18" s="14">
        <v>8485.2272727272793</v>
      </c>
      <c r="I18" s="18">
        <v>1</v>
      </c>
      <c r="K18" s="15"/>
      <c r="L18" s="34"/>
    </row>
    <row r="19" spans="1:12" ht="16.5" x14ac:dyDescent="0.3">
      <c r="A19" s="1" t="str">
        <f>'Catálogo de e-mails'!A19</f>
        <v>CLIENTE 11</v>
      </c>
      <c r="B19" s="22" t="s">
        <v>23</v>
      </c>
      <c r="C19" s="5" t="str">
        <f>'Catálogo de e-mails'!C19</f>
        <v>cliente11@cliente11.com.br</v>
      </c>
      <c r="D19" s="16" t="s">
        <v>48</v>
      </c>
      <c r="E19" s="13">
        <v>18</v>
      </c>
      <c r="F19" s="13">
        <v>2</v>
      </c>
      <c r="G19" s="11">
        <v>44957</v>
      </c>
      <c r="H19" s="14">
        <v>8550</v>
      </c>
      <c r="I19" s="18">
        <v>2</v>
      </c>
      <c r="K19" s="15"/>
      <c r="L19" s="34"/>
    </row>
    <row r="20" spans="1:12" ht="16.5" x14ac:dyDescent="0.3">
      <c r="A20" s="1" t="str">
        <f>'Catálogo de e-mails'!A20</f>
        <v>CLIENTE 11</v>
      </c>
      <c r="B20" s="22" t="s">
        <v>23</v>
      </c>
      <c r="C20" s="5" t="str">
        <f>'Catálogo de e-mails'!C20</f>
        <v>cliente11@cliente11.com.br</v>
      </c>
      <c r="D20" s="16" t="s">
        <v>47</v>
      </c>
      <c r="E20" s="13">
        <v>19</v>
      </c>
      <c r="F20" s="13">
        <v>2</v>
      </c>
      <c r="G20" s="11">
        <v>44959</v>
      </c>
      <c r="H20" s="14">
        <v>8614.7727272727298</v>
      </c>
      <c r="I20" s="18">
        <v>2</v>
      </c>
      <c r="K20" s="15"/>
      <c r="L20" s="34"/>
    </row>
    <row r="21" spans="1:12" ht="16.5" x14ac:dyDescent="0.25">
      <c r="A21" s="1">
        <f>'Catálogo de e-mails'!A21</f>
        <v>0</v>
      </c>
      <c r="C21" s="5" t="str">
        <f>'Catálogo de e-mails'!C21</f>
        <v>Nome não Cadastrado</v>
      </c>
      <c r="I21" s="18">
        <v>1</v>
      </c>
      <c r="K21" s="15"/>
      <c r="L21" s="34"/>
    </row>
    <row r="22" spans="1:12" ht="16.5" x14ac:dyDescent="0.25">
      <c r="A22" s="1">
        <f>'Catálogo de e-mails'!A22</f>
        <v>0</v>
      </c>
      <c r="C22" s="5" t="str">
        <f>'Catálogo de e-mails'!C22</f>
        <v>Nome não Cadastrado</v>
      </c>
      <c r="I22" s="18">
        <v>1</v>
      </c>
      <c r="K22" s="15"/>
      <c r="L22" s="34"/>
    </row>
    <row r="23" spans="1:12" ht="16.5" x14ac:dyDescent="0.25">
      <c r="A23" s="1">
        <f>'Catálogo de e-mails'!A23</f>
        <v>0</v>
      </c>
      <c r="C23" s="5" t="str">
        <f>'Catálogo de e-mails'!C23</f>
        <v>Nome não Cadastrado</v>
      </c>
      <c r="I23" s="18">
        <v>1</v>
      </c>
      <c r="K23" s="15"/>
      <c r="L23" s="34"/>
    </row>
    <row r="24" spans="1:12" ht="16.5" x14ac:dyDescent="0.25">
      <c r="A24" s="1">
        <f>'Catálogo de e-mails'!A24</f>
        <v>0</v>
      </c>
      <c r="C24" s="5" t="str">
        <f>'Catálogo de e-mails'!C24</f>
        <v>Nome não Cadastrado</v>
      </c>
      <c r="I24" s="18">
        <v>1</v>
      </c>
      <c r="K24" s="15"/>
      <c r="L24" s="34"/>
    </row>
    <row r="25" spans="1:12" ht="16.5" x14ac:dyDescent="0.25">
      <c r="A25" s="1">
        <f>'Catálogo de e-mails'!A25</f>
        <v>0</v>
      </c>
      <c r="C25" s="5" t="str">
        <f>'Catálogo de e-mails'!C25</f>
        <v>Nome não Cadastrado</v>
      </c>
      <c r="I25" s="18">
        <v>1</v>
      </c>
      <c r="K25" s="15"/>
      <c r="L25" s="34"/>
    </row>
    <row r="26" spans="1:12" ht="16.5" x14ac:dyDescent="0.25">
      <c r="A26" s="1">
        <f>'Catálogo de e-mails'!A26</f>
        <v>0</v>
      </c>
      <c r="C26" s="5" t="str">
        <f>'Catálogo de e-mails'!C26</f>
        <v>Nome não Cadastrado</v>
      </c>
      <c r="I26" s="18">
        <v>1</v>
      </c>
      <c r="K26" s="15"/>
      <c r="L26" s="34"/>
    </row>
    <row r="27" spans="1:12" ht="16.5" x14ac:dyDescent="0.25">
      <c r="A27" s="1">
        <f>'Catálogo de e-mails'!A27</f>
        <v>0</v>
      </c>
      <c r="C27" s="5" t="str">
        <f>'Catálogo de e-mails'!C27</f>
        <v>Nome não Cadastrado</v>
      </c>
      <c r="I27" s="18">
        <v>1</v>
      </c>
      <c r="K27" s="15"/>
      <c r="L27" s="34"/>
    </row>
    <row r="28" spans="1:12" ht="16.5" x14ac:dyDescent="0.25">
      <c r="A28" s="1">
        <f>'Catálogo de e-mails'!A28</f>
        <v>0</v>
      </c>
      <c r="C28" s="5" t="str">
        <f>'Catálogo de e-mails'!C28</f>
        <v>Nome não Cadastrado</v>
      </c>
      <c r="I28" s="18">
        <v>1</v>
      </c>
      <c r="K28" s="15"/>
      <c r="L28" s="34"/>
    </row>
    <row r="29" spans="1:12" ht="16.5" x14ac:dyDescent="0.25">
      <c r="A29" s="1">
        <f>'Catálogo de e-mails'!A29</f>
        <v>0</v>
      </c>
      <c r="C29" s="5" t="str">
        <f>'Catálogo de e-mails'!C29</f>
        <v>Nome não Cadastrado</v>
      </c>
      <c r="I29" s="18">
        <v>1</v>
      </c>
      <c r="K29" s="15"/>
      <c r="L29" s="34"/>
    </row>
    <row r="30" spans="1:12" ht="16.5" x14ac:dyDescent="0.25">
      <c r="A30" s="1">
        <f>'Catálogo de e-mails'!A30</f>
        <v>0</v>
      </c>
      <c r="C30" s="5" t="str">
        <f>'Catálogo de e-mails'!C30</f>
        <v>Nome não Cadastrado</v>
      </c>
      <c r="I30" s="18">
        <v>1</v>
      </c>
      <c r="K30" s="15"/>
      <c r="L30" s="34"/>
    </row>
    <row r="31" spans="1:12" ht="16.5" x14ac:dyDescent="0.25">
      <c r="A31" s="1">
        <f>'Catálogo de e-mails'!A31</f>
        <v>0</v>
      </c>
      <c r="C31" s="5" t="str">
        <f>'Catálogo de e-mails'!C31</f>
        <v>Nome não Cadastrado</v>
      </c>
      <c r="I31" s="18">
        <v>1</v>
      </c>
      <c r="K31" s="15"/>
      <c r="L31" s="34"/>
    </row>
    <row r="32" spans="1:12" ht="16.5" x14ac:dyDescent="0.25">
      <c r="A32" s="1">
        <f>'Catálogo de e-mails'!A32</f>
        <v>0</v>
      </c>
      <c r="C32" s="5" t="str">
        <f>'Catálogo de e-mails'!C32</f>
        <v>Nome não Cadastrado</v>
      </c>
      <c r="I32" s="18">
        <v>1</v>
      </c>
      <c r="K32" s="15"/>
      <c r="L32" s="34"/>
    </row>
    <row r="33" spans="1:12" ht="16.5" x14ac:dyDescent="0.25">
      <c r="A33" s="1">
        <f>'Catálogo de e-mails'!A33</f>
        <v>0</v>
      </c>
      <c r="C33" s="5" t="str">
        <f>'Catálogo de e-mails'!C33</f>
        <v>Nome não Cadastrado</v>
      </c>
      <c r="I33" s="18">
        <v>1</v>
      </c>
      <c r="K33" s="15"/>
      <c r="L33" s="34"/>
    </row>
    <row r="34" spans="1:12" ht="16.5" x14ac:dyDescent="0.25">
      <c r="A34" s="1">
        <f>'Catálogo de e-mails'!A34</f>
        <v>0</v>
      </c>
      <c r="C34" s="5" t="str">
        <f>'Catálogo de e-mails'!C34</f>
        <v>Nome não Cadastrado</v>
      </c>
      <c r="I34" s="18">
        <v>1</v>
      </c>
      <c r="K34" s="15"/>
      <c r="L34" s="34"/>
    </row>
    <row r="35" spans="1:12" ht="16.5" x14ac:dyDescent="0.25">
      <c r="A35" s="1">
        <f>'Catálogo de e-mails'!A35</f>
        <v>0</v>
      </c>
      <c r="C35" s="5" t="str">
        <f>'Catálogo de e-mails'!C35</f>
        <v>Nome não Cadastrado</v>
      </c>
      <c r="I35" s="18">
        <v>2</v>
      </c>
      <c r="K35" s="15"/>
      <c r="L35" s="34"/>
    </row>
    <row r="36" spans="1:12" ht="16.5" x14ac:dyDescent="0.25">
      <c r="A36" s="1">
        <f>'Catálogo de e-mails'!A36</f>
        <v>0</v>
      </c>
      <c r="C36" s="5" t="str">
        <f>'Catálogo de e-mails'!C36</f>
        <v>Nome não Cadastrado</v>
      </c>
      <c r="I36" s="18">
        <v>1</v>
      </c>
      <c r="K36" s="15"/>
      <c r="L36" s="34"/>
    </row>
    <row r="37" spans="1:12" ht="16.5" x14ac:dyDescent="0.25">
      <c r="A37" s="1">
        <f>'Catálogo de e-mails'!A37</f>
        <v>0</v>
      </c>
      <c r="C37" s="5" t="str">
        <f>'Catálogo de e-mails'!C37</f>
        <v>Nome não Cadastrado</v>
      </c>
      <c r="I37" s="18">
        <v>1</v>
      </c>
      <c r="K37" s="15"/>
      <c r="L37" s="34"/>
    </row>
    <row r="38" spans="1:12" ht="16.5" x14ac:dyDescent="0.25">
      <c r="A38" s="1">
        <f>'Catálogo de e-mails'!A38</f>
        <v>0</v>
      </c>
      <c r="C38" s="5" t="str">
        <f>'Catálogo de e-mails'!C38</f>
        <v>Nome não Cadastrado</v>
      </c>
      <c r="I38" s="18">
        <v>1</v>
      </c>
      <c r="K38" s="15"/>
      <c r="L38" s="34"/>
    </row>
    <row r="39" spans="1:12" ht="16.5" x14ac:dyDescent="0.25">
      <c r="A39" s="1">
        <f>'Catálogo de e-mails'!A39</f>
        <v>0</v>
      </c>
      <c r="C39" s="5" t="str">
        <f>'Catálogo de e-mails'!C39</f>
        <v>Nome não Cadastrado</v>
      </c>
      <c r="I39" s="18">
        <v>1</v>
      </c>
      <c r="K39" s="15"/>
      <c r="L39" s="34"/>
    </row>
    <row r="40" spans="1:12" ht="16.5" x14ac:dyDescent="0.25">
      <c r="A40" s="1">
        <f>'Catálogo de e-mails'!A40</f>
        <v>0</v>
      </c>
      <c r="C40" s="5" t="str">
        <f>'Catálogo de e-mails'!C40</f>
        <v>Nome não Cadastrado</v>
      </c>
      <c r="I40" s="18">
        <v>1</v>
      </c>
      <c r="K40" s="15"/>
      <c r="L40" s="34"/>
    </row>
    <row r="41" spans="1:12" ht="16.5" x14ac:dyDescent="0.25">
      <c r="A41" s="1">
        <f>'Catálogo de e-mails'!A41</f>
        <v>0</v>
      </c>
      <c r="C41" s="5" t="str">
        <f>'Catálogo de e-mails'!C41</f>
        <v>Nome não Cadastrado</v>
      </c>
      <c r="I41" s="18">
        <v>1</v>
      </c>
      <c r="K41" s="15"/>
      <c r="L41" s="34"/>
    </row>
    <row r="42" spans="1:12" ht="16.5" x14ac:dyDescent="0.25">
      <c r="A42" s="1">
        <f>'Catálogo de e-mails'!A42</f>
        <v>0</v>
      </c>
      <c r="C42" s="5" t="str">
        <f>'Catálogo de e-mails'!C42</f>
        <v>Nome não Cadastrado</v>
      </c>
      <c r="I42" s="18">
        <v>1</v>
      </c>
      <c r="K42" s="15"/>
      <c r="L42" s="34"/>
    </row>
    <row r="43" spans="1:12" ht="16.5" x14ac:dyDescent="0.25">
      <c r="A43" s="1">
        <f>'Catálogo de e-mails'!A43</f>
        <v>0</v>
      </c>
      <c r="C43" s="5" t="str">
        <f>'Catálogo de e-mails'!C43</f>
        <v>Nome não Cadastrado</v>
      </c>
      <c r="I43" s="18">
        <v>1</v>
      </c>
      <c r="K43" s="15"/>
      <c r="L43" s="34"/>
    </row>
    <row r="44" spans="1:12" ht="16.5" x14ac:dyDescent="0.25">
      <c r="A44" s="1">
        <f>'Catálogo de e-mails'!A44</f>
        <v>0</v>
      </c>
      <c r="C44" s="5" t="str">
        <f>'Catálogo de e-mails'!C44</f>
        <v>Nome não Cadastrado</v>
      </c>
      <c r="I44" s="18">
        <v>1</v>
      </c>
      <c r="K44" s="15"/>
      <c r="L44" s="34"/>
    </row>
    <row r="45" spans="1:12" ht="16.5" x14ac:dyDescent="0.25">
      <c r="A45" s="1">
        <f>'Catálogo de e-mails'!A45</f>
        <v>0</v>
      </c>
      <c r="C45" s="5" t="str">
        <f>'Catálogo de e-mails'!C45</f>
        <v>Nome não Cadastrado</v>
      </c>
      <c r="I45" s="18">
        <v>1</v>
      </c>
      <c r="K45" s="15"/>
      <c r="L45" s="34"/>
    </row>
    <row r="46" spans="1:12" ht="16.5" x14ac:dyDescent="0.25">
      <c r="A46" s="1">
        <f>'Catálogo de e-mails'!A46</f>
        <v>0</v>
      </c>
      <c r="C46" s="5" t="str">
        <f>'Catálogo de e-mails'!C46</f>
        <v>Nome não Cadastrado</v>
      </c>
      <c r="I46" s="18">
        <v>1</v>
      </c>
      <c r="K46" s="15"/>
      <c r="L46" s="34"/>
    </row>
    <row r="47" spans="1:12" ht="16.5" x14ac:dyDescent="0.25">
      <c r="A47" s="1">
        <f>'Catálogo de e-mails'!A47</f>
        <v>0</v>
      </c>
      <c r="C47" s="5" t="str">
        <f>'Catálogo de e-mails'!C47</f>
        <v>Nome não Cadastrado</v>
      </c>
      <c r="I47" s="18">
        <v>1</v>
      </c>
      <c r="K47" s="15"/>
      <c r="L47" s="34"/>
    </row>
    <row r="48" spans="1:12" ht="16.5" x14ac:dyDescent="0.25">
      <c r="A48" s="1">
        <f>'Catálogo de e-mails'!A48</f>
        <v>0</v>
      </c>
      <c r="C48" s="5" t="str">
        <f>'Catálogo de e-mails'!C48</f>
        <v>Nome não Cadastrado</v>
      </c>
      <c r="I48" s="18">
        <v>1</v>
      </c>
      <c r="K48" s="15"/>
      <c r="L48" s="34"/>
    </row>
    <row r="49" spans="1:12" ht="16.5" x14ac:dyDescent="0.25">
      <c r="A49" s="1">
        <f>'Catálogo de e-mails'!A49</f>
        <v>0</v>
      </c>
      <c r="C49" s="5" t="str">
        <f>'Catálogo de e-mails'!C49</f>
        <v>Nome não Cadastrado</v>
      </c>
      <c r="I49" s="18">
        <v>1</v>
      </c>
      <c r="K49" s="15"/>
      <c r="L49" s="34"/>
    </row>
    <row r="50" spans="1:12" ht="16.5" x14ac:dyDescent="0.25">
      <c r="A50" s="1">
        <f>'Catálogo de e-mails'!A50</f>
        <v>0</v>
      </c>
      <c r="C50" s="5" t="str">
        <f>'Catálogo de e-mails'!C50</f>
        <v>Nome não Cadastrado</v>
      </c>
      <c r="I50" s="18">
        <v>1</v>
      </c>
      <c r="K50" s="15"/>
      <c r="L50" s="34"/>
    </row>
    <row r="51" spans="1:12" ht="16.5" x14ac:dyDescent="0.25">
      <c r="A51" s="1">
        <f>'Catálogo de e-mails'!A51</f>
        <v>0</v>
      </c>
      <c r="C51" s="5" t="str">
        <f>'Catálogo de e-mails'!C51</f>
        <v>Nome não Cadastrado</v>
      </c>
      <c r="I51" s="18">
        <v>1</v>
      </c>
      <c r="K51" s="15"/>
      <c r="L51" s="34"/>
    </row>
    <row r="52" spans="1:12" ht="16.5" x14ac:dyDescent="0.25">
      <c r="A52" s="1">
        <f>'Catálogo de e-mails'!A52</f>
        <v>0</v>
      </c>
      <c r="C52" s="5" t="str">
        <f>'Catálogo de e-mails'!C52</f>
        <v>Nome não Cadastrado</v>
      </c>
      <c r="I52" s="18">
        <v>2</v>
      </c>
      <c r="K52" s="15"/>
      <c r="L52" s="34"/>
    </row>
    <row r="53" spans="1:12" ht="16.5" x14ac:dyDescent="0.25">
      <c r="A53" s="1">
        <f>'Catálogo de e-mails'!A53</f>
        <v>0</v>
      </c>
      <c r="C53" s="5" t="str">
        <f>'Catálogo de e-mails'!C53</f>
        <v>Nome não Cadastrado</v>
      </c>
      <c r="I53" s="18">
        <v>2</v>
      </c>
      <c r="K53" s="15"/>
      <c r="L53" s="34"/>
    </row>
    <row r="54" spans="1:12" ht="16.5" x14ac:dyDescent="0.25">
      <c r="A54" s="1">
        <f>'Catálogo de e-mails'!A54</f>
        <v>0</v>
      </c>
      <c r="C54" s="5" t="str">
        <f>'Catálogo de e-mails'!C54</f>
        <v>Nome não Cadastrado</v>
      </c>
      <c r="I54" s="18">
        <v>2</v>
      </c>
      <c r="K54" s="15"/>
      <c r="L54" s="34"/>
    </row>
    <row r="55" spans="1:12" ht="16.5" x14ac:dyDescent="0.25">
      <c r="A55" s="1">
        <f>'Catálogo de e-mails'!A55</f>
        <v>0</v>
      </c>
      <c r="C55" s="5" t="str">
        <f>'Catálogo de e-mails'!C55</f>
        <v>Nome não Cadastrado</v>
      </c>
      <c r="I55" s="18">
        <v>2</v>
      </c>
      <c r="K55" s="15"/>
      <c r="L55" s="34"/>
    </row>
    <row r="56" spans="1:12" ht="16.5" x14ac:dyDescent="0.25">
      <c r="A56" s="1">
        <f>'Catálogo de e-mails'!A56</f>
        <v>0</v>
      </c>
      <c r="C56" s="5" t="str">
        <f>'Catálogo de e-mails'!C56</f>
        <v>Nome não Cadastrado</v>
      </c>
      <c r="I56" s="18">
        <v>2</v>
      </c>
      <c r="K56" s="15"/>
      <c r="L56" s="34"/>
    </row>
    <row r="57" spans="1:12" ht="16.5" x14ac:dyDescent="0.25">
      <c r="A57" s="1">
        <f>'Catálogo de e-mails'!A57</f>
        <v>0</v>
      </c>
      <c r="C57" s="5" t="str">
        <f>'Catálogo de e-mails'!C57</f>
        <v>Nome não Cadastrado</v>
      </c>
      <c r="I57" s="18">
        <v>2</v>
      </c>
      <c r="K57" s="15"/>
      <c r="L57" s="34"/>
    </row>
    <row r="58" spans="1:12" ht="16.5" x14ac:dyDescent="0.25">
      <c r="A58" s="1">
        <f>'Catálogo de e-mails'!A58</f>
        <v>0</v>
      </c>
      <c r="C58" s="5" t="str">
        <f>'Catálogo de e-mails'!C58</f>
        <v>Nome não Cadastrado</v>
      </c>
      <c r="I58" s="18">
        <v>1</v>
      </c>
      <c r="K58" s="15"/>
      <c r="L58" s="34"/>
    </row>
    <row r="59" spans="1:12" ht="16.5" x14ac:dyDescent="0.25">
      <c r="A59" s="1">
        <f>'Catálogo de e-mails'!A59</f>
        <v>0</v>
      </c>
      <c r="C59" s="5" t="str">
        <f>'Catálogo de e-mails'!C59</f>
        <v>Nome não Cadastrado</v>
      </c>
      <c r="I59" s="18">
        <v>2</v>
      </c>
      <c r="K59" s="15"/>
      <c r="L59" s="34"/>
    </row>
    <row r="60" spans="1:12" ht="16.5" x14ac:dyDescent="0.25">
      <c r="A60" s="1">
        <f>'Catálogo de e-mails'!A60</f>
        <v>0</v>
      </c>
      <c r="C60" s="5" t="str">
        <f>'Catálogo de e-mails'!C60</f>
        <v>Nome não Cadastrado</v>
      </c>
      <c r="I60" s="18">
        <v>2</v>
      </c>
      <c r="K60" s="15"/>
      <c r="L60" s="34"/>
    </row>
    <row r="61" spans="1:12" ht="16.5" x14ac:dyDescent="0.25">
      <c r="A61" s="1">
        <f>'Catálogo de e-mails'!A61</f>
        <v>0</v>
      </c>
      <c r="C61" s="5" t="str">
        <f>'Catálogo de e-mails'!C61</f>
        <v>Nome não Cadastrado</v>
      </c>
      <c r="I61" s="18">
        <v>1</v>
      </c>
      <c r="K61" s="15"/>
      <c r="L61" s="34"/>
    </row>
    <row r="62" spans="1:12" ht="16.5" x14ac:dyDescent="0.25">
      <c r="A62" s="1">
        <f>'Catálogo de e-mails'!A62</f>
        <v>0</v>
      </c>
      <c r="C62" s="5" t="str">
        <f>'Catálogo de e-mails'!C62</f>
        <v>Nome não Cadastrado</v>
      </c>
      <c r="I62" s="18">
        <v>1</v>
      </c>
      <c r="K62" s="15"/>
      <c r="L62" s="34"/>
    </row>
    <row r="63" spans="1:12" ht="16.5" x14ac:dyDescent="0.25">
      <c r="A63" s="1">
        <f>'Catálogo de e-mails'!A63</f>
        <v>0</v>
      </c>
      <c r="C63" s="5" t="str">
        <f>'Catálogo de e-mails'!C63</f>
        <v>Nome não Cadastrado</v>
      </c>
      <c r="I63" s="18">
        <v>1</v>
      </c>
      <c r="K63" s="15"/>
      <c r="L63" s="34"/>
    </row>
    <row r="64" spans="1:12" ht="16.5" x14ac:dyDescent="0.25">
      <c r="A64" s="1">
        <f>'Catálogo de e-mails'!A64</f>
        <v>0</v>
      </c>
      <c r="C64" s="5" t="str">
        <f>'Catálogo de e-mails'!C64</f>
        <v>Nome não Cadastrado</v>
      </c>
      <c r="I64" s="18">
        <v>2</v>
      </c>
      <c r="K64" s="15"/>
      <c r="L64" s="34"/>
    </row>
    <row r="65" spans="1:12" ht="16.5" x14ac:dyDescent="0.25">
      <c r="A65" s="1">
        <f>'Catálogo de e-mails'!A65</f>
        <v>0</v>
      </c>
      <c r="C65" s="5" t="str">
        <f>'Catálogo de e-mails'!C65</f>
        <v>Nome não Cadastrado</v>
      </c>
      <c r="I65" s="18">
        <v>2</v>
      </c>
      <c r="K65" s="15"/>
      <c r="L65" s="34"/>
    </row>
    <row r="66" spans="1:12" ht="16.5" x14ac:dyDescent="0.25">
      <c r="A66" s="1">
        <f>'Catálogo de e-mails'!A66</f>
        <v>0</v>
      </c>
      <c r="C66" s="5" t="str">
        <f>'Catálogo de e-mails'!C66</f>
        <v>Nome não Cadastrado</v>
      </c>
      <c r="I66" s="18">
        <v>1</v>
      </c>
      <c r="K66" s="15"/>
      <c r="L66" s="34"/>
    </row>
    <row r="67" spans="1:12" ht="16.5" x14ac:dyDescent="0.25">
      <c r="A67" s="1">
        <f>'Catálogo de e-mails'!A67</f>
        <v>0</v>
      </c>
      <c r="C67" s="5" t="str">
        <f>'Catálogo de e-mails'!C67</f>
        <v>Nome não Cadastrado</v>
      </c>
      <c r="I67" s="18">
        <v>2</v>
      </c>
      <c r="K67" s="15"/>
      <c r="L67" s="34"/>
    </row>
    <row r="68" spans="1:12" ht="16.5" x14ac:dyDescent="0.25">
      <c r="A68" s="1">
        <f>'Catálogo de e-mails'!A68</f>
        <v>0</v>
      </c>
      <c r="C68" s="5" t="str">
        <f>'Catálogo de e-mails'!C68</f>
        <v>Nome não Cadastrado</v>
      </c>
      <c r="I68" s="18">
        <v>2</v>
      </c>
      <c r="K68" s="15"/>
      <c r="L68" s="34"/>
    </row>
    <row r="69" spans="1:12" ht="16.5" x14ac:dyDescent="0.25">
      <c r="A69" s="1">
        <f>'Catálogo de e-mails'!A69</f>
        <v>0</v>
      </c>
      <c r="C69" s="5" t="str">
        <f>'Catálogo de e-mails'!C69</f>
        <v>Nome não Cadastrado</v>
      </c>
      <c r="I69" s="18">
        <v>1</v>
      </c>
      <c r="K69" s="15"/>
      <c r="L69" s="34"/>
    </row>
    <row r="70" spans="1:12" ht="16.5" x14ac:dyDescent="0.25">
      <c r="A70" s="1">
        <f>'Catálogo de e-mails'!A70</f>
        <v>0</v>
      </c>
      <c r="C70" s="5" t="str">
        <f>'Catálogo de e-mails'!C70</f>
        <v>Nome não Cadastrado</v>
      </c>
      <c r="I70" s="18">
        <v>1</v>
      </c>
      <c r="K70" s="15"/>
      <c r="L70" s="34"/>
    </row>
    <row r="71" spans="1:12" ht="16.5" x14ac:dyDescent="0.25">
      <c r="A71" s="1">
        <f>'Catálogo de e-mails'!A71</f>
        <v>0</v>
      </c>
      <c r="C71" s="5" t="str">
        <f>'Catálogo de e-mails'!C71</f>
        <v>Nome não Cadastrado</v>
      </c>
      <c r="I71" s="18">
        <v>1</v>
      </c>
      <c r="K71" s="15"/>
      <c r="L71" s="34"/>
    </row>
    <row r="72" spans="1:12" ht="16.5" x14ac:dyDescent="0.25">
      <c r="A72" s="1">
        <f>'Catálogo de e-mails'!A72</f>
        <v>0</v>
      </c>
      <c r="C72" s="5" t="str">
        <f>'Catálogo de e-mails'!C72</f>
        <v>Nome não Cadastrado</v>
      </c>
      <c r="I72" s="18">
        <v>1</v>
      </c>
      <c r="K72" s="15"/>
      <c r="L72" s="34"/>
    </row>
    <row r="73" spans="1:12" ht="16.5" x14ac:dyDescent="0.25">
      <c r="A73" s="1">
        <f>'Catálogo de e-mails'!A73</f>
        <v>0</v>
      </c>
      <c r="C73" s="5" t="str">
        <f>'Catálogo de e-mails'!C73</f>
        <v>Nome não Cadastrado</v>
      </c>
      <c r="I73" s="18">
        <v>1</v>
      </c>
      <c r="K73" s="15"/>
      <c r="L73" s="34"/>
    </row>
    <row r="74" spans="1:12" ht="16.5" x14ac:dyDescent="0.25">
      <c r="A74" s="1">
        <f>'Catálogo de e-mails'!A74</f>
        <v>0</v>
      </c>
      <c r="C74" s="5" t="str">
        <f>'Catálogo de e-mails'!C74</f>
        <v>Nome não Cadastrado</v>
      </c>
      <c r="I74" s="18">
        <v>1</v>
      </c>
      <c r="K74" s="15"/>
      <c r="L74" s="34"/>
    </row>
    <row r="75" spans="1:12" ht="16.5" x14ac:dyDescent="0.25">
      <c r="A75" s="1">
        <f>'Catálogo de e-mails'!A75</f>
        <v>0</v>
      </c>
      <c r="C75" s="5" t="str">
        <f>'Catálogo de e-mails'!C75</f>
        <v>Nome não Cadastrado</v>
      </c>
      <c r="I75" s="18">
        <v>1</v>
      </c>
      <c r="K75" s="15"/>
      <c r="L75" s="34"/>
    </row>
    <row r="76" spans="1:12" ht="16.5" x14ac:dyDescent="0.25">
      <c r="A76" s="1">
        <f>'Catálogo de e-mails'!A76</f>
        <v>0</v>
      </c>
      <c r="C76" s="5" t="str">
        <f>'Catálogo de e-mails'!C76</f>
        <v>Nome não Cadastrado</v>
      </c>
      <c r="I76" s="18">
        <v>1</v>
      </c>
      <c r="K76" s="15"/>
      <c r="L76" s="34"/>
    </row>
    <row r="77" spans="1:12" ht="16.5" x14ac:dyDescent="0.25">
      <c r="A77" s="1">
        <f>'Catálogo de e-mails'!A77</f>
        <v>0</v>
      </c>
      <c r="C77" s="5" t="str">
        <f>'Catálogo de e-mails'!C77</f>
        <v>Nome não Cadastrado</v>
      </c>
      <c r="I77" s="18">
        <v>1</v>
      </c>
      <c r="K77" s="15"/>
      <c r="L77" s="34"/>
    </row>
    <row r="78" spans="1:12" ht="16.5" x14ac:dyDescent="0.25">
      <c r="A78" s="1">
        <f>'Catálogo de e-mails'!A78</f>
        <v>0</v>
      </c>
      <c r="C78" s="5" t="str">
        <f>'Catálogo de e-mails'!C78</f>
        <v>Nome não Cadastrado</v>
      </c>
      <c r="I78" s="18">
        <v>1</v>
      </c>
      <c r="K78" s="15"/>
      <c r="L78" s="34"/>
    </row>
    <row r="79" spans="1:12" ht="16.5" x14ac:dyDescent="0.25">
      <c r="A79" s="1">
        <f>'Catálogo de e-mails'!A79</f>
        <v>0</v>
      </c>
      <c r="C79" s="5" t="str">
        <f>'Catálogo de e-mails'!C79</f>
        <v>Nome não Cadastrado</v>
      </c>
      <c r="I79" s="18">
        <v>1</v>
      </c>
      <c r="K79" s="15"/>
      <c r="L79" s="34"/>
    </row>
    <row r="80" spans="1:12" ht="16.5" x14ac:dyDescent="0.25">
      <c r="A80" s="1">
        <f>'Catálogo de e-mails'!A80</f>
        <v>0</v>
      </c>
      <c r="C80" s="5" t="str">
        <f>'Catálogo de e-mails'!C80</f>
        <v>Nome não Cadastrado</v>
      </c>
      <c r="I80" s="18">
        <v>1</v>
      </c>
      <c r="K80" s="15"/>
      <c r="L80" s="34"/>
    </row>
    <row r="81" spans="1:12" ht="16.5" x14ac:dyDescent="0.25">
      <c r="A81" s="1">
        <f>'Catálogo de e-mails'!A81</f>
        <v>0</v>
      </c>
      <c r="C81" s="5" t="str">
        <f>'Catálogo de e-mails'!C81</f>
        <v>Nome não Cadastrado</v>
      </c>
      <c r="I81" s="18">
        <v>1</v>
      </c>
      <c r="K81" s="15"/>
      <c r="L81" s="34"/>
    </row>
    <row r="82" spans="1:12" ht="16.5" x14ac:dyDescent="0.25">
      <c r="A82" s="1">
        <f>'Catálogo de e-mails'!A82</f>
        <v>0</v>
      </c>
      <c r="C82" s="5" t="str">
        <f>'Catálogo de e-mails'!C82</f>
        <v>Nome não Cadastrado</v>
      </c>
      <c r="I82" s="18">
        <v>1</v>
      </c>
      <c r="K82" s="15"/>
      <c r="L82" s="34"/>
    </row>
    <row r="83" spans="1:12" ht="16.5" x14ac:dyDescent="0.25">
      <c r="A83" s="1">
        <f>'Catálogo de e-mails'!A83</f>
        <v>0</v>
      </c>
      <c r="C83" s="5" t="str">
        <f>'Catálogo de e-mails'!C83</f>
        <v>Nome não Cadastrado</v>
      </c>
      <c r="I83" s="18">
        <v>2</v>
      </c>
      <c r="K83" s="15"/>
      <c r="L83" s="34"/>
    </row>
    <row r="84" spans="1:12" ht="16.5" x14ac:dyDescent="0.25">
      <c r="A84" s="1">
        <f>'Catálogo de e-mails'!A84</f>
        <v>0</v>
      </c>
      <c r="C84" s="5" t="str">
        <f>'Catálogo de e-mails'!C84</f>
        <v>Nome não Cadastrado</v>
      </c>
      <c r="I84" s="18">
        <v>1</v>
      </c>
      <c r="K84" s="15"/>
      <c r="L84" s="34"/>
    </row>
    <row r="85" spans="1:12" ht="16.5" x14ac:dyDescent="0.25">
      <c r="A85" s="1">
        <f>'Catálogo de e-mails'!A85</f>
        <v>0</v>
      </c>
      <c r="C85" s="5" t="str">
        <f>'Catálogo de e-mails'!C85</f>
        <v>Nome não Cadastrado</v>
      </c>
      <c r="I85" s="18">
        <v>1</v>
      </c>
      <c r="K85" s="15"/>
      <c r="L85" s="34"/>
    </row>
    <row r="86" spans="1:12" ht="16.5" x14ac:dyDescent="0.25">
      <c r="A86" s="1">
        <f>'Catálogo de e-mails'!A86</f>
        <v>0</v>
      </c>
      <c r="C86" s="5" t="str">
        <f>'Catálogo de e-mails'!C86</f>
        <v>Nome não Cadastrado</v>
      </c>
      <c r="I86" s="18">
        <v>1</v>
      </c>
      <c r="K86" s="15"/>
      <c r="L86" s="34"/>
    </row>
    <row r="87" spans="1:12" ht="16.5" x14ac:dyDescent="0.25">
      <c r="A87" s="1">
        <f>'Catálogo de e-mails'!A87</f>
        <v>0</v>
      </c>
      <c r="C87" s="5" t="str">
        <f>'Catálogo de e-mails'!C87</f>
        <v>Nome não Cadastrado</v>
      </c>
      <c r="I87" s="18">
        <v>1</v>
      </c>
    </row>
    <row r="88" spans="1:12" ht="16.5" x14ac:dyDescent="0.25">
      <c r="A88" s="1">
        <f>'Catálogo de e-mails'!A88</f>
        <v>0</v>
      </c>
      <c r="C88" s="5" t="str">
        <f>'Catálogo de e-mails'!C88</f>
        <v>Nome não Cadastrado</v>
      </c>
      <c r="I88" s="18">
        <v>1</v>
      </c>
    </row>
    <row r="89" spans="1:12" ht="16.5" x14ac:dyDescent="0.25">
      <c r="A89" s="1">
        <f>'Catálogo de e-mails'!A89</f>
        <v>0</v>
      </c>
      <c r="C89" s="5" t="str">
        <f>'Catálogo de e-mails'!C89</f>
        <v>Nome não Cadastrado</v>
      </c>
      <c r="I89" s="18">
        <v>1</v>
      </c>
    </row>
    <row r="90" spans="1:12" ht="16.5" x14ac:dyDescent="0.25">
      <c r="A90" s="1">
        <f>'Catálogo de e-mails'!A90</f>
        <v>0</v>
      </c>
      <c r="C90" s="5" t="str">
        <f>'Catálogo de e-mails'!C90</f>
        <v>Nome não Cadastrado</v>
      </c>
      <c r="I90" s="18">
        <v>1</v>
      </c>
    </row>
    <row r="91" spans="1:12" x14ac:dyDescent="0.25">
      <c r="I91" s="18"/>
    </row>
  </sheetData>
  <sheetProtection selectLockedCells="1"/>
  <protectedRanges>
    <protectedRange algorithmName="SHA-512" hashValue="hzucao0inyKYtrvTg++0oDSHM8LoibqPQFmsm6GhlaRljROp8qqn9CUDZXFsYgSSp8iK1OGJq1G7fgmPOcyOCQ==" saltValue="syUdCPrha10rNWynidIK1g==" spinCount="100000" sqref="C2:C90" name="Intervalo1"/>
  </protectedRanges>
  <phoneticPr fontId="6" type="noConversion"/>
  <conditionalFormatting sqref="B2:C2 B3:B12 C3:C90 A1:A1048576">
    <cfRule type="cellIs" dxfId="35" priority="19" operator="equal">
      <formula>"Nome não Cadastrado"</formula>
    </cfRule>
  </conditionalFormatting>
  <conditionalFormatting sqref="E1">
    <cfRule type="cellIs" dxfId="34" priority="18" operator="equal">
      <formula>0</formula>
    </cfRule>
  </conditionalFormatting>
  <conditionalFormatting sqref="I1:I1048576">
    <cfRule type="cellIs" dxfId="33" priority="5" operator="equal">
      <formula>2</formula>
    </cfRule>
    <cfRule type="cellIs" dxfId="32" priority="6" operator="equal">
      <formula>1</formula>
    </cfRule>
  </conditionalFormatting>
  <conditionalFormatting sqref="M2">
    <cfRule type="cellIs" dxfId="31" priority="3" operator="equal">
      <formula>2</formula>
    </cfRule>
    <cfRule type="cellIs" dxfId="30" priority="4" operator="equal">
      <formula>1</formula>
    </cfRule>
  </conditionalFormatting>
  <conditionalFormatting sqref="B13:B20">
    <cfRule type="cellIs" dxfId="29" priority="1" operator="equal">
      <formula>"Nome não Cadastrado"</formula>
    </cfRule>
  </conditionalFormatting>
  <dataValidations count="1">
    <dataValidation type="list" allowBlank="1" showInputMessage="1" showErrorMessage="1" sqref="I2:I90" xr:uid="{07CE7D40-A4F5-4A77-BF1B-3D8761604DBD}">
      <formula1>$M$2:$M$3</formula1>
    </dataValidation>
  </dataValidations>
  <hyperlinks>
    <hyperlink ref="A2" r:id="rId1" display="cliente1@cliente.com.br" xr:uid="{06D4B279-F32E-48FB-979B-91240AC25005}"/>
  </hyperlinks>
  <pageMargins left="0.7" right="0.7" top="0.75" bottom="0.75" header="0.51180555555555496" footer="0.51180555555555496"/>
  <pageSetup paperSize="9" firstPageNumber="0" orientation="portrait" horizontalDpi="300" verticalDpi="300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1FA2F-2F17-4C40-83FB-C2A8093F780D}">
  <sheetPr codeName="Planilha4"/>
  <dimension ref="A1:I271"/>
  <sheetViews>
    <sheetView showZeros="0" workbookViewId="0">
      <selection activeCell="A14" sqref="A14:A20"/>
    </sheetView>
  </sheetViews>
  <sheetFormatPr defaultRowHeight="15" x14ac:dyDescent="0.25"/>
  <cols>
    <col min="1" max="1" width="19.7109375" customWidth="1"/>
    <col min="2" max="2" width="26.28515625" customWidth="1"/>
    <col min="3" max="3" width="32.28515625" customWidth="1"/>
    <col min="4" max="4" width="9.140625" style="3"/>
    <col min="5" max="5" width="31.5703125" style="9" customWidth="1"/>
    <col min="6" max="6" width="30.140625" style="3" customWidth="1"/>
    <col min="7" max="7" width="3.7109375" style="3" customWidth="1"/>
    <col min="8" max="8" width="28.28515625" style="3" customWidth="1"/>
    <col min="9" max="9" width="30.28515625" style="24" customWidth="1"/>
    <col min="10" max="16384" width="9.140625" style="3"/>
  </cols>
  <sheetData>
    <row r="1" spans="1:9" ht="16.5" x14ac:dyDescent="0.25">
      <c r="A1" s="6" t="s">
        <v>2</v>
      </c>
      <c r="B1" s="6" t="s">
        <v>1</v>
      </c>
      <c r="C1" s="6" t="s">
        <v>6</v>
      </c>
      <c r="E1" s="29" t="s">
        <v>1</v>
      </c>
      <c r="F1" s="28" t="s">
        <v>0</v>
      </c>
      <c r="H1" s="28" t="s">
        <v>1</v>
      </c>
      <c r="I1" s="27" t="s">
        <v>24</v>
      </c>
    </row>
    <row r="2" spans="1:9" ht="16.5" x14ac:dyDescent="0.25">
      <c r="A2" t="str">
        <f>IFERROR(VLOOKUP(B2,H1:I151,2,0),"Nome não Cadastrado")</f>
        <v>CLIENTE 01</v>
      </c>
      <c r="B2" s="23" t="str">
        <f>'Envio de CTes'!B2</f>
        <v>00000000000001</v>
      </c>
      <c r="C2" s="7" t="str">
        <f>IFERROR(VLOOKUP(B2,E1:F145,2,0),"Nome não Cadastrado")</f>
        <v>cliente01@cliente01.com.br</v>
      </c>
      <c r="D2" s="3" t="s">
        <v>7</v>
      </c>
      <c r="E2" s="22" t="s">
        <v>13</v>
      </c>
      <c r="F2" s="26" t="s">
        <v>36</v>
      </c>
      <c r="G2" s="3" t="s">
        <v>7</v>
      </c>
      <c r="H2" s="25" t="str">
        <f>E2</f>
        <v>00000000000001</v>
      </c>
      <c r="I2" s="24" t="s">
        <v>25</v>
      </c>
    </row>
    <row r="3" spans="1:9" ht="16.5" x14ac:dyDescent="0.25">
      <c r="A3" t="str">
        <f>IFERROR(VLOOKUP(B3,H1:I152,2,0),"Nome não Cadastrado")</f>
        <v>CLIENTE 02</v>
      </c>
      <c r="B3" s="23" t="str">
        <f>'Envio de CTes'!B3</f>
        <v>00000000000002</v>
      </c>
      <c r="C3" s="7" t="str">
        <f>IFERROR(VLOOKUP(B3,E2:F145,2,0),"Nome não Cadastrado")</f>
        <v>cliente02@cliente02.com.br</v>
      </c>
      <c r="D3" s="3" t="s">
        <v>7</v>
      </c>
      <c r="E3" s="22" t="s">
        <v>14</v>
      </c>
      <c r="F3" s="26" t="s">
        <v>37</v>
      </c>
      <c r="G3" s="3" t="s">
        <v>7</v>
      </c>
      <c r="H3" s="25" t="str">
        <f>E3</f>
        <v>00000000000002</v>
      </c>
      <c r="I3" s="24" t="s">
        <v>26</v>
      </c>
    </row>
    <row r="4" spans="1:9" ht="16.5" x14ac:dyDescent="0.25">
      <c r="A4" t="str">
        <f t="shared" ref="A3:A20" si="0">IFERROR(VLOOKUP(B4,H3:I153,2,0),"Nome não Cadastrado")</f>
        <v>CLIENTE 03</v>
      </c>
      <c r="B4" s="23" t="str">
        <f>'Envio de CTes'!B4</f>
        <v>00000000000003</v>
      </c>
      <c r="C4" s="7" t="str">
        <f>IFERROR(VLOOKUP(B4,E2:F147,2,0),"Nome não Cadastrado")</f>
        <v>cliente03@cliente03.com.br</v>
      </c>
      <c r="D4" s="3" t="s">
        <v>7</v>
      </c>
      <c r="E4" s="22" t="s">
        <v>15</v>
      </c>
      <c r="F4" s="26" t="s">
        <v>38</v>
      </c>
      <c r="G4" s="3" t="s">
        <v>7</v>
      </c>
      <c r="H4" s="25" t="str">
        <f>E4</f>
        <v>00000000000003</v>
      </c>
      <c r="I4" s="24" t="s">
        <v>27</v>
      </c>
    </row>
    <row r="5" spans="1:9" ht="16.5" x14ac:dyDescent="0.25">
      <c r="A5" t="str">
        <f t="shared" si="0"/>
        <v>CLIENTE 04</v>
      </c>
      <c r="B5" s="23" t="str">
        <f>'Envio de CTes'!B5</f>
        <v>00000000000004</v>
      </c>
      <c r="C5" s="7" t="str">
        <f>IFERROR(VLOOKUP(B5,E2:F145,2,0),"Nome não Cadastrado")</f>
        <v>cliente04@cliente04.com.br</v>
      </c>
      <c r="D5" s="3" t="s">
        <v>7</v>
      </c>
      <c r="E5" s="22" t="s">
        <v>16</v>
      </c>
      <c r="F5" s="26" t="s">
        <v>39</v>
      </c>
      <c r="G5" s="3" t="s">
        <v>7</v>
      </c>
      <c r="H5" s="25" t="str">
        <f>E5</f>
        <v>00000000000004</v>
      </c>
      <c r="I5" s="24" t="s">
        <v>28</v>
      </c>
    </row>
    <row r="6" spans="1:9" ht="16.5" x14ac:dyDescent="0.25">
      <c r="A6" t="str">
        <f t="shared" si="0"/>
        <v>CLIENTE 05</v>
      </c>
      <c r="B6" s="23" t="str">
        <f>'Envio de CTes'!B6</f>
        <v>00000000000005</v>
      </c>
      <c r="C6" s="7" t="str">
        <f>IFERROR(VLOOKUP(B6,E2:F145,2,0),"Nome não Cadastrado")</f>
        <v>cliente05@cliente05.com.br</v>
      </c>
      <c r="D6" s="3" t="s">
        <v>7</v>
      </c>
      <c r="E6" s="22" t="s">
        <v>17</v>
      </c>
      <c r="F6" s="26" t="s">
        <v>40</v>
      </c>
      <c r="G6" s="3" t="s">
        <v>7</v>
      </c>
      <c r="H6" s="25" t="str">
        <f>E6</f>
        <v>00000000000005</v>
      </c>
      <c r="I6" s="24" t="s">
        <v>29</v>
      </c>
    </row>
    <row r="7" spans="1:9" ht="16.5" x14ac:dyDescent="0.25">
      <c r="A7" t="str">
        <f t="shared" si="0"/>
        <v>CLIENTE 06</v>
      </c>
      <c r="B7" s="23" t="str">
        <f>'Envio de CTes'!B7</f>
        <v>00000000000006</v>
      </c>
      <c r="C7" s="7" t="str">
        <f>IFERROR(VLOOKUP(B7,E2:F145,2,0),"Nome não Cadastrado")</f>
        <v>cliente06@cliente06.com.br</v>
      </c>
      <c r="D7" s="3" t="s">
        <v>7</v>
      </c>
      <c r="E7" s="22" t="s">
        <v>18</v>
      </c>
      <c r="F7" s="26" t="s">
        <v>41</v>
      </c>
      <c r="G7" s="3" t="s">
        <v>7</v>
      </c>
      <c r="H7" s="25" t="str">
        <f>E7</f>
        <v>00000000000006</v>
      </c>
      <c r="I7" s="24" t="s">
        <v>30</v>
      </c>
    </row>
    <row r="8" spans="1:9" ht="16.5" x14ac:dyDescent="0.25">
      <c r="A8" t="str">
        <f t="shared" si="0"/>
        <v>CLIENTE 07</v>
      </c>
      <c r="B8" s="23" t="str">
        <f>'Envio de CTes'!B8</f>
        <v>00000000000007</v>
      </c>
      <c r="C8" s="7" t="str">
        <f>IFERROR(VLOOKUP(B8,E2:F145,2,0),"Nome não Cadastrado")</f>
        <v>cliente07@cliente07.com.br</v>
      </c>
      <c r="D8" s="3" t="s">
        <v>7</v>
      </c>
      <c r="E8" s="22" t="s">
        <v>19</v>
      </c>
      <c r="F8" s="26" t="s">
        <v>42</v>
      </c>
      <c r="G8" s="3" t="s">
        <v>7</v>
      </c>
      <c r="H8" s="25" t="str">
        <f>E8</f>
        <v>00000000000007</v>
      </c>
      <c r="I8" s="24" t="s">
        <v>31</v>
      </c>
    </row>
    <row r="9" spans="1:9" ht="16.5" x14ac:dyDescent="0.25">
      <c r="A9" t="str">
        <f t="shared" si="0"/>
        <v>CLIENTE 08</v>
      </c>
      <c r="B9" s="23" t="str">
        <f>'Envio de CTes'!B9</f>
        <v>00000000000008</v>
      </c>
      <c r="C9" s="7" t="str">
        <f>IFERROR(VLOOKUP(B9,E2:F145,2,0),"Nome não Cadastrado")</f>
        <v>cliente08@cliente08.com.br</v>
      </c>
      <c r="D9" s="3" t="s">
        <v>7</v>
      </c>
      <c r="E9" s="22" t="s">
        <v>20</v>
      </c>
      <c r="F9" s="26" t="s">
        <v>43</v>
      </c>
      <c r="G9" s="3" t="s">
        <v>7</v>
      </c>
      <c r="H9" s="25" t="str">
        <f>E9</f>
        <v>00000000000008</v>
      </c>
      <c r="I9" s="24" t="s">
        <v>32</v>
      </c>
    </row>
    <row r="10" spans="1:9" ht="16.5" x14ac:dyDescent="0.25">
      <c r="A10" t="str">
        <f t="shared" si="0"/>
        <v>CLIENTE 09</v>
      </c>
      <c r="B10" s="23" t="str">
        <f>'Envio de CTes'!B10</f>
        <v>00000000000009</v>
      </c>
      <c r="C10" s="7" t="str">
        <f>IFERROR(VLOOKUP(B10,E2:F145,2,0),"Nome não Cadastrado")</f>
        <v>cliente09@cliente09.com.br</v>
      </c>
      <c r="D10" s="3" t="s">
        <v>7</v>
      </c>
      <c r="E10" s="22" t="s">
        <v>21</v>
      </c>
      <c r="F10" s="26" t="s">
        <v>44</v>
      </c>
      <c r="G10" s="3" t="s">
        <v>7</v>
      </c>
      <c r="H10" s="25" t="str">
        <f>E10</f>
        <v>00000000000009</v>
      </c>
      <c r="I10" s="24" t="s">
        <v>33</v>
      </c>
    </row>
    <row r="11" spans="1:9" ht="16.5" x14ac:dyDescent="0.25">
      <c r="A11" t="str">
        <f t="shared" si="0"/>
        <v>CLIENTE 10</v>
      </c>
      <c r="B11" s="23" t="str">
        <f>'Envio de CTes'!B11</f>
        <v>00000000000010</v>
      </c>
      <c r="C11" s="7" t="str">
        <f>IFERROR(VLOOKUP(B11,E2:F145,2,0),"Nome não Cadastrado")</f>
        <v>cliente10@cliente10.com.br</v>
      </c>
      <c r="D11" s="3" t="s">
        <v>7</v>
      </c>
      <c r="E11" s="22" t="s">
        <v>22</v>
      </c>
      <c r="F11" s="26" t="s">
        <v>45</v>
      </c>
      <c r="G11" s="3" t="s">
        <v>7</v>
      </c>
      <c r="H11" s="25" t="str">
        <f>E11</f>
        <v>00000000000010</v>
      </c>
      <c r="I11" s="24" t="s">
        <v>34</v>
      </c>
    </row>
    <row r="12" spans="1:9" ht="16.5" x14ac:dyDescent="0.25">
      <c r="A12" t="str">
        <f t="shared" si="0"/>
        <v>CLIENTE 11</v>
      </c>
      <c r="B12" s="23" t="str">
        <f>'Envio de CTes'!B12</f>
        <v>00000000000011</v>
      </c>
      <c r="C12" s="7" t="str">
        <f>IFERROR(VLOOKUP(B12,E2:F145,2,0),"Nome não Cadastrado")</f>
        <v>cliente11@cliente11.com.br</v>
      </c>
      <c r="D12" s="3" t="s">
        <v>7</v>
      </c>
      <c r="E12" s="30" t="s">
        <v>23</v>
      </c>
      <c r="F12" s="31" t="s">
        <v>46</v>
      </c>
      <c r="G12" s="3" t="s">
        <v>7</v>
      </c>
      <c r="H12" s="32" t="str">
        <f>E12</f>
        <v>00000000000011</v>
      </c>
      <c r="I12" s="24" t="s">
        <v>35</v>
      </c>
    </row>
    <row r="13" spans="1:9" ht="16.5" x14ac:dyDescent="0.25">
      <c r="A13" t="str">
        <f t="shared" si="0"/>
        <v>CLIENTE 11</v>
      </c>
      <c r="B13" s="23" t="str">
        <f>'Envio de CTes'!B13</f>
        <v>00000000000011</v>
      </c>
      <c r="C13" s="7" t="str">
        <f>IFERROR(VLOOKUP(B13,E2:F145,2,0),"Nome não Cadastrado")</f>
        <v>cliente11@cliente11.com.br</v>
      </c>
      <c r="D13" s="3" t="s">
        <v>7</v>
      </c>
      <c r="E13" s="33"/>
      <c r="F13" s="34"/>
      <c r="G13" s="34"/>
      <c r="H13" s="35"/>
      <c r="I13" s="36"/>
    </row>
    <row r="14" spans="1:9" ht="16.5" x14ac:dyDescent="0.25">
      <c r="A14" t="str">
        <f>IFERROR(VLOOKUP(B14,H2:I163,2,0),"Nome não Cadastrado")</f>
        <v>CLIENTE 11</v>
      </c>
      <c r="B14" s="23" t="str">
        <f>'Envio de CTes'!B14</f>
        <v>00000000000011</v>
      </c>
      <c r="C14" s="7" t="str">
        <f>IFERROR(VLOOKUP(B14,E2:F145,2,0),"Nome não Cadastrado")</f>
        <v>cliente11@cliente11.com.br</v>
      </c>
      <c r="D14" s="3" t="s">
        <v>7</v>
      </c>
      <c r="E14" s="37"/>
      <c r="F14" s="34"/>
      <c r="G14" s="34"/>
      <c r="H14" s="35"/>
      <c r="I14" s="36"/>
    </row>
    <row r="15" spans="1:9" ht="16.5" x14ac:dyDescent="0.25">
      <c r="A15" t="str">
        <f t="shared" ref="A15:A20" si="1">IFERROR(VLOOKUP(B15,H3:I164,2,0),"Nome não Cadastrado")</f>
        <v>CLIENTE 11</v>
      </c>
      <c r="B15" s="23" t="str">
        <f>'Envio de CTes'!B15</f>
        <v>00000000000011</v>
      </c>
      <c r="C15" s="7" t="str">
        <f>IFERROR(VLOOKUP(B15,E2:F145,2,0),"Nome não Cadastrado")</f>
        <v>cliente11@cliente11.com.br</v>
      </c>
      <c r="D15" s="3" t="s">
        <v>7</v>
      </c>
      <c r="E15" s="38"/>
      <c r="F15" s="39"/>
      <c r="G15" s="34"/>
      <c r="H15" s="35"/>
      <c r="I15" s="36"/>
    </row>
    <row r="16" spans="1:9" ht="16.5" x14ac:dyDescent="0.25">
      <c r="A16" t="str">
        <f t="shared" si="1"/>
        <v>CLIENTE 11</v>
      </c>
      <c r="B16" s="23" t="str">
        <f>'Envio de CTes'!B16</f>
        <v>00000000000011</v>
      </c>
      <c r="C16" s="7" t="str">
        <f>IFERROR(VLOOKUP(B16,E2:F145,2,0),"Nome não Cadastrado")</f>
        <v>cliente11@cliente11.com.br</v>
      </c>
      <c r="D16" s="3" t="s">
        <v>7</v>
      </c>
      <c r="E16" s="37"/>
      <c r="F16" s="34"/>
      <c r="G16" s="34"/>
      <c r="H16" s="35"/>
      <c r="I16" s="36"/>
    </row>
    <row r="17" spans="1:9" ht="16.5" x14ac:dyDescent="0.25">
      <c r="A17" t="str">
        <f t="shared" si="1"/>
        <v>CLIENTE 11</v>
      </c>
      <c r="B17" s="23" t="str">
        <f>'Envio de CTes'!B17</f>
        <v>00000000000011</v>
      </c>
      <c r="C17" s="7" t="str">
        <f>IFERROR(VLOOKUP(B17,E2:F145,2,0),"Nome não Cadastrado")</f>
        <v>cliente11@cliente11.com.br</v>
      </c>
      <c r="D17" s="3" t="s">
        <v>7</v>
      </c>
      <c r="E17" s="37"/>
      <c r="F17" s="39"/>
      <c r="G17" s="34"/>
      <c r="H17" s="35"/>
      <c r="I17" s="36"/>
    </row>
    <row r="18" spans="1:9" ht="16.5" x14ac:dyDescent="0.25">
      <c r="A18" t="str">
        <f t="shared" si="1"/>
        <v>CLIENTE 11</v>
      </c>
      <c r="B18" s="23" t="str">
        <f>'Envio de CTes'!B18</f>
        <v>00000000000011</v>
      </c>
      <c r="C18" s="7" t="str">
        <f>IFERROR(VLOOKUP(B18,E2:F145,2,0),"Nome não Cadastrado")</f>
        <v>cliente11@cliente11.com.br</v>
      </c>
      <c r="D18" s="3" t="s">
        <v>7</v>
      </c>
      <c r="E18" s="40"/>
      <c r="F18" s="34"/>
      <c r="G18" s="34"/>
      <c r="H18" s="35"/>
      <c r="I18" s="36"/>
    </row>
    <row r="19" spans="1:9" ht="16.5" x14ac:dyDescent="0.25">
      <c r="A19" t="str">
        <f t="shared" si="1"/>
        <v>CLIENTE 11</v>
      </c>
      <c r="B19" s="23" t="str">
        <f>'Envio de CTes'!B19</f>
        <v>00000000000011</v>
      </c>
      <c r="C19" s="7" t="str">
        <f>IFERROR(VLOOKUP(B19,E2:F145,2,0),"Nome não Cadastrado")</f>
        <v>cliente11@cliente11.com.br</v>
      </c>
      <c r="D19" s="3" t="s">
        <v>7</v>
      </c>
      <c r="E19" s="38"/>
      <c r="F19" s="39"/>
      <c r="G19" s="34"/>
      <c r="H19" s="35"/>
      <c r="I19" s="36"/>
    </row>
    <row r="20" spans="1:9" ht="16.5" x14ac:dyDescent="0.25">
      <c r="A20" t="str">
        <f t="shared" si="1"/>
        <v>CLIENTE 11</v>
      </c>
      <c r="B20" s="23" t="str">
        <f>'Envio de CTes'!B20</f>
        <v>00000000000011</v>
      </c>
      <c r="C20" s="7" t="str">
        <f>IFERROR(VLOOKUP(B20,E2:F145,2,0),"Nome não Cadastrado")</f>
        <v>cliente11@cliente11.com.br</v>
      </c>
      <c r="D20" s="3" t="s">
        <v>7</v>
      </c>
      <c r="E20" s="38"/>
      <c r="F20" s="34"/>
      <c r="G20" s="34"/>
      <c r="H20" s="35"/>
      <c r="I20" s="36"/>
    </row>
    <row r="21" spans="1:9" ht="16.5" x14ac:dyDescent="0.25">
      <c r="A21">
        <f t="shared" ref="A3:A66" si="2">IFERROR(VLOOKUP(B21,H20:I170,2,0),"Nome não Cadastrado")</f>
        <v>0</v>
      </c>
      <c r="B21" s="23">
        <f>'Envio de CTes'!B21</f>
        <v>0</v>
      </c>
      <c r="C21" s="7" t="str">
        <f>IFERROR(VLOOKUP(B21,E2:F145,2,0),"Nome não Cadastrado")</f>
        <v>Nome não Cadastrado</v>
      </c>
      <c r="D21" s="3" t="s">
        <v>7</v>
      </c>
      <c r="E21" s="38"/>
      <c r="F21" s="34"/>
      <c r="G21" s="34"/>
      <c r="H21" s="35"/>
      <c r="I21" s="36"/>
    </row>
    <row r="22" spans="1:9" ht="16.5" x14ac:dyDescent="0.25">
      <c r="A22">
        <f t="shared" si="2"/>
        <v>0</v>
      </c>
      <c r="B22" s="23">
        <f>'Envio de CTes'!B22</f>
        <v>0</v>
      </c>
      <c r="C22" s="7" t="str">
        <f>IFERROR(VLOOKUP(B22,E2:F145,2,0),"Nome não Cadastrado")</f>
        <v>Nome não Cadastrado</v>
      </c>
      <c r="D22" s="3" t="s">
        <v>7</v>
      </c>
      <c r="E22" s="37"/>
      <c r="F22" s="34"/>
      <c r="G22" s="34"/>
      <c r="H22" s="35"/>
      <c r="I22" s="36"/>
    </row>
    <row r="23" spans="1:9" ht="16.5" x14ac:dyDescent="0.25">
      <c r="A23">
        <f t="shared" si="2"/>
        <v>0</v>
      </c>
      <c r="B23" s="23">
        <f>'Envio de CTes'!B23</f>
        <v>0</v>
      </c>
      <c r="C23" s="7" t="str">
        <f>IFERROR(VLOOKUP(B23,E2:F145,2,0),"Nome não Cadastrado")</f>
        <v>Nome não Cadastrado</v>
      </c>
      <c r="D23" s="3" t="s">
        <v>7</v>
      </c>
      <c r="E23" s="37"/>
      <c r="F23" s="39"/>
      <c r="G23" s="34"/>
      <c r="H23" s="35"/>
      <c r="I23" s="36"/>
    </row>
    <row r="24" spans="1:9" ht="16.5" x14ac:dyDescent="0.25">
      <c r="A24">
        <f t="shared" si="2"/>
        <v>0</v>
      </c>
      <c r="B24" s="23">
        <f>'Envio de CTes'!B24</f>
        <v>0</v>
      </c>
      <c r="C24" s="7" t="str">
        <f>IFERROR(VLOOKUP(B24,E2:F145,2,0),"Nome não Cadastrado")</f>
        <v>Nome não Cadastrado</v>
      </c>
      <c r="D24" s="3" t="s">
        <v>7</v>
      </c>
      <c r="E24" s="37"/>
      <c r="F24" s="34"/>
      <c r="G24" s="34"/>
      <c r="H24" s="35"/>
      <c r="I24" s="36"/>
    </row>
    <row r="25" spans="1:9" ht="16.5" x14ac:dyDescent="0.25">
      <c r="A25">
        <f t="shared" si="2"/>
        <v>0</v>
      </c>
      <c r="B25" s="23">
        <f>'Envio de CTes'!B25</f>
        <v>0</v>
      </c>
      <c r="C25" s="7" t="str">
        <f>IFERROR(VLOOKUP(B25,E2:F145,2,0),"Nome não Cadastrado")</f>
        <v>Nome não Cadastrado</v>
      </c>
      <c r="D25" s="3" t="s">
        <v>7</v>
      </c>
      <c r="E25" s="33"/>
      <c r="F25" s="34"/>
      <c r="G25" s="34"/>
      <c r="H25" s="35"/>
      <c r="I25" s="36"/>
    </row>
    <row r="26" spans="1:9" ht="16.5" x14ac:dyDescent="0.25">
      <c r="A26">
        <f t="shared" si="2"/>
        <v>0</v>
      </c>
      <c r="B26" s="23">
        <f>'Envio de CTes'!B26</f>
        <v>0</v>
      </c>
      <c r="C26" s="7" t="str">
        <f>IFERROR(VLOOKUP(B26,E2:F145,2,0),"Nome não Cadastrado")</f>
        <v>Nome não Cadastrado</v>
      </c>
      <c r="D26" s="3" t="s">
        <v>7</v>
      </c>
      <c r="E26" s="38"/>
      <c r="F26" s="34"/>
      <c r="G26" s="34"/>
      <c r="H26" s="35"/>
      <c r="I26" s="36"/>
    </row>
    <row r="27" spans="1:9" ht="16.5" x14ac:dyDescent="0.25">
      <c r="A27">
        <f t="shared" si="2"/>
        <v>0</v>
      </c>
      <c r="B27" s="23">
        <f>'Envio de CTes'!B27</f>
        <v>0</v>
      </c>
      <c r="C27" s="7" t="str">
        <f>IFERROR(VLOOKUP(B27,E2:F145,2,0),"Nome não Cadastrado")</f>
        <v>Nome não Cadastrado</v>
      </c>
      <c r="D27" s="3" t="s">
        <v>7</v>
      </c>
      <c r="E27" s="38"/>
      <c r="F27" s="34"/>
      <c r="G27" s="34"/>
      <c r="H27" s="35"/>
      <c r="I27" s="36"/>
    </row>
    <row r="28" spans="1:9" ht="16.5" x14ac:dyDescent="0.25">
      <c r="A28">
        <f t="shared" si="2"/>
        <v>0</v>
      </c>
      <c r="B28" s="23">
        <f>'Envio de CTes'!B28</f>
        <v>0</v>
      </c>
      <c r="C28" s="7" t="str">
        <f>IFERROR(VLOOKUP(B28,E2:F145,2,0),"Nome não Cadastrado")</f>
        <v>Nome não Cadastrado</v>
      </c>
      <c r="D28" s="3" t="s">
        <v>7</v>
      </c>
      <c r="E28" s="38"/>
      <c r="F28" s="34"/>
      <c r="G28" s="34"/>
      <c r="H28" s="35"/>
      <c r="I28" s="36"/>
    </row>
    <row r="29" spans="1:9" ht="16.5" x14ac:dyDescent="0.25">
      <c r="A29">
        <f t="shared" si="2"/>
        <v>0</v>
      </c>
      <c r="B29" s="23">
        <f>'Envio de CTes'!B29</f>
        <v>0</v>
      </c>
      <c r="C29" s="7" t="str">
        <f>IFERROR(VLOOKUP(B29,E2:F145,2,0),"Nome não Cadastrado")</f>
        <v>Nome não Cadastrado</v>
      </c>
      <c r="D29" s="3" t="s">
        <v>7</v>
      </c>
      <c r="E29" s="38"/>
      <c r="F29" s="34"/>
      <c r="G29" s="34"/>
      <c r="H29" s="35"/>
      <c r="I29" s="36"/>
    </row>
    <row r="30" spans="1:9" ht="16.5" x14ac:dyDescent="0.25">
      <c r="A30">
        <f t="shared" si="2"/>
        <v>0</v>
      </c>
      <c r="B30" s="23">
        <f>'Envio de CTes'!B30</f>
        <v>0</v>
      </c>
      <c r="C30" s="7" t="str">
        <f>IFERROR(VLOOKUP(B30,E2:F145,2,0),"Nome não Cadastrado")</f>
        <v>Nome não Cadastrado</v>
      </c>
      <c r="D30" s="3" t="s">
        <v>7</v>
      </c>
      <c r="E30" s="38"/>
      <c r="F30" s="34"/>
      <c r="G30" s="34"/>
      <c r="H30" s="35"/>
      <c r="I30" s="36"/>
    </row>
    <row r="31" spans="1:9" ht="16.5" x14ac:dyDescent="0.25">
      <c r="A31">
        <f t="shared" si="2"/>
        <v>0</v>
      </c>
      <c r="B31" s="23">
        <f>'Envio de CTes'!B31</f>
        <v>0</v>
      </c>
      <c r="C31" s="7" t="str">
        <f>IFERROR(VLOOKUP(B31,E2:F145,2,0),"Nome não Cadastrado")</f>
        <v>Nome não Cadastrado</v>
      </c>
      <c r="D31" s="3" t="s">
        <v>7</v>
      </c>
      <c r="E31" s="33"/>
      <c r="F31" s="34"/>
      <c r="G31" s="34"/>
      <c r="H31" s="35"/>
      <c r="I31" s="36"/>
    </row>
    <row r="32" spans="1:9" ht="16.5" x14ac:dyDescent="0.25">
      <c r="A32">
        <f t="shared" si="2"/>
        <v>0</v>
      </c>
      <c r="B32" s="23">
        <f>'Envio de CTes'!B32</f>
        <v>0</v>
      </c>
      <c r="C32" s="7" t="str">
        <f>IFERROR(VLOOKUP(B32,E2:F145,2,0),"Nome não Cadastrado")</f>
        <v>Nome não Cadastrado</v>
      </c>
      <c r="D32" s="3" t="s">
        <v>7</v>
      </c>
      <c r="E32" s="37"/>
      <c r="F32" s="34"/>
      <c r="G32" s="34"/>
      <c r="H32" s="35"/>
      <c r="I32" s="36"/>
    </row>
    <row r="33" spans="1:9" ht="16.5" x14ac:dyDescent="0.25">
      <c r="A33">
        <f t="shared" si="2"/>
        <v>0</v>
      </c>
      <c r="B33" s="23">
        <f>'Envio de CTes'!B33</f>
        <v>0</v>
      </c>
      <c r="C33" s="7" t="str">
        <f>IFERROR(VLOOKUP(B33,E2:F145,2,0),"Nome não Cadastrado")</f>
        <v>Nome não Cadastrado</v>
      </c>
      <c r="D33" s="3" t="s">
        <v>7</v>
      </c>
      <c r="E33" s="40"/>
      <c r="F33" s="34"/>
      <c r="G33" s="34"/>
      <c r="H33" s="35"/>
      <c r="I33" s="36"/>
    </row>
    <row r="34" spans="1:9" ht="16.5" x14ac:dyDescent="0.25">
      <c r="A34">
        <f t="shared" si="2"/>
        <v>0</v>
      </c>
      <c r="B34" s="23">
        <f>'Envio de CTes'!B34</f>
        <v>0</v>
      </c>
      <c r="C34" s="7" t="str">
        <f>IFERROR(VLOOKUP(B34,E2:F145,2,0),"Nome não Cadastrado")</f>
        <v>Nome não Cadastrado</v>
      </c>
      <c r="D34" s="3" t="s">
        <v>7</v>
      </c>
      <c r="E34" s="37"/>
      <c r="F34" s="34"/>
      <c r="G34" s="34"/>
      <c r="H34" s="35"/>
      <c r="I34" s="36"/>
    </row>
    <row r="35" spans="1:9" ht="16.5" x14ac:dyDescent="0.25">
      <c r="A35">
        <f t="shared" si="2"/>
        <v>0</v>
      </c>
      <c r="B35" s="23">
        <f>'Envio de CTes'!B35</f>
        <v>0</v>
      </c>
      <c r="C35" s="7" t="str">
        <f>IFERROR(VLOOKUP(B35,E2:F145,2,0),"Nome não Cadastrado")</f>
        <v>Nome não Cadastrado</v>
      </c>
      <c r="D35" s="3" t="s">
        <v>7</v>
      </c>
      <c r="E35" s="37"/>
      <c r="F35" s="41"/>
      <c r="G35" s="34"/>
      <c r="H35" s="35"/>
      <c r="I35" s="36"/>
    </row>
    <row r="36" spans="1:9" ht="16.5" x14ac:dyDescent="0.25">
      <c r="A36">
        <f t="shared" si="2"/>
        <v>0</v>
      </c>
      <c r="B36" s="23">
        <f>'Envio de CTes'!B36</f>
        <v>0</v>
      </c>
      <c r="C36" s="7" t="str">
        <f>IFERROR(VLOOKUP(B36,E2:F145,2,0),"Nome não Cadastrado")</f>
        <v>Nome não Cadastrado</v>
      </c>
      <c r="D36" s="3" t="s">
        <v>7</v>
      </c>
      <c r="E36" s="33"/>
      <c r="F36" s="34"/>
      <c r="G36" s="34"/>
      <c r="H36" s="35"/>
      <c r="I36" s="36"/>
    </row>
    <row r="37" spans="1:9" ht="16.5" x14ac:dyDescent="0.25">
      <c r="A37">
        <f t="shared" si="2"/>
        <v>0</v>
      </c>
      <c r="B37" s="23">
        <f>'Envio de CTes'!B37</f>
        <v>0</v>
      </c>
      <c r="C37" s="7" t="str">
        <f>IFERROR(VLOOKUP(B37,E2:F145,2,0),"Nome não Cadastrado")</f>
        <v>Nome não Cadastrado</v>
      </c>
      <c r="D37" s="3" t="s">
        <v>7</v>
      </c>
      <c r="E37" s="33"/>
      <c r="F37" s="34"/>
      <c r="G37" s="34"/>
      <c r="H37" s="35"/>
      <c r="I37" s="36"/>
    </row>
    <row r="38" spans="1:9" ht="16.5" x14ac:dyDescent="0.25">
      <c r="A38">
        <f t="shared" si="2"/>
        <v>0</v>
      </c>
      <c r="B38" s="23">
        <f>'Envio de CTes'!B38</f>
        <v>0</v>
      </c>
      <c r="C38" s="7" t="str">
        <f>IFERROR(VLOOKUP(B38,E2:F145,2,0),"Nome não Cadastrado")</f>
        <v>Nome não Cadastrado</v>
      </c>
      <c r="D38" s="3" t="s">
        <v>7</v>
      </c>
      <c r="E38" s="33"/>
      <c r="F38" s="41"/>
      <c r="G38" s="34"/>
      <c r="H38" s="35"/>
      <c r="I38" s="36"/>
    </row>
    <row r="39" spans="1:9" ht="16.5" x14ac:dyDescent="0.25">
      <c r="A39">
        <f t="shared" si="2"/>
        <v>0</v>
      </c>
      <c r="B39" s="23">
        <f>'Envio de CTes'!B39</f>
        <v>0</v>
      </c>
      <c r="C39" s="7" t="str">
        <f>IFERROR(VLOOKUP(B39,E2:F145,2,0),"Nome não Cadastrado")</f>
        <v>Nome não Cadastrado</v>
      </c>
      <c r="D39" s="3" t="s">
        <v>7</v>
      </c>
      <c r="E39" s="33"/>
      <c r="F39" s="34"/>
      <c r="G39" s="34"/>
      <c r="H39" s="35"/>
      <c r="I39" s="36"/>
    </row>
    <row r="40" spans="1:9" ht="16.5" x14ac:dyDescent="0.25">
      <c r="A40">
        <f t="shared" si="2"/>
        <v>0</v>
      </c>
      <c r="B40" s="23">
        <f>'Envio de CTes'!B40</f>
        <v>0</v>
      </c>
      <c r="C40" s="7" t="str">
        <f>IFERROR(VLOOKUP(B40,E2:F145,2,0),"Nome não Cadastrado")</f>
        <v>Nome não Cadastrado</v>
      </c>
      <c r="D40" s="3" t="s">
        <v>7</v>
      </c>
      <c r="E40" s="33"/>
      <c r="F40" s="34"/>
      <c r="G40" s="34"/>
      <c r="H40" s="35"/>
      <c r="I40" s="36"/>
    </row>
    <row r="41" spans="1:9" ht="16.5" x14ac:dyDescent="0.25">
      <c r="A41">
        <f t="shared" si="2"/>
        <v>0</v>
      </c>
      <c r="B41" s="23">
        <f>'Envio de CTes'!B41</f>
        <v>0</v>
      </c>
      <c r="C41" s="7" t="str">
        <f>IFERROR(VLOOKUP(B41,E2:F145,2,0),"Nome não Cadastrado")</f>
        <v>Nome não Cadastrado</v>
      </c>
      <c r="D41" s="3" t="s">
        <v>7</v>
      </c>
      <c r="E41" s="37"/>
      <c r="F41" s="41"/>
      <c r="G41" s="34"/>
      <c r="H41" s="35"/>
      <c r="I41" s="36"/>
    </row>
    <row r="42" spans="1:9" ht="16.5" x14ac:dyDescent="0.25">
      <c r="A42">
        <f t="shared" si="2"/>
        <v>0</v>
      </c>
      <c r="B42" s="23">
        <f>'Envio de CTes'!B42</f>
        <v>0</v>
      </c>
      <c r="C42" s="7" t="str">
        <f>IFERROR(VLOOKUP(B42,E2:F145,2,0),"Nome não Cadastrado")</f>
        <v>Nome não Cadastrado</v>
      </c>
      <c r="D42" s="3" t="s">
        <v>7</v>
      </c>
      <c r="E42" s="37"/>
      <c r="F42" s="34"/>
      <c r="G42" s="34"/>
      <c r="H42" s="35"/>
      <c r="I42" s="36"/>
    </row>
    <row r="43" spans="1:9" ht="16.5" x14ac:dyDescent="0.25">
      <c r="A43">
        <f t="shared" si="2"/>
        <v>0</v>
      </c>
      <c r="B43" s="23">
        <f>'Envio de CTes'!B43</f>
        <v>0</v>
      </c>
      <c r="C43" s="7" t="str">
        <f>IFERROR(VLOOKUP(B43,E2:F145,2,0),"Nome não Cadastrado")</f>
        <v>Nome não Cadastrado</v>
      </c>
      <c r="D43" s="3" t="s">
        <v>7</v>
      </c>
      <c r="E43" s="37"/>
      <c r="F43" s="41"/>
      <c r="G43" s="34"/>
      <c r="H43" s="35"/>
      <c r="I43" s="36"/>
    </row>
    <row r="44" spans="1:9" ht="16.5" x14ac:dyDescent="0.25">
      <c r="A44">
        <f t="shared" si="2"/>
        <v>0</v>
      </c>
      <c r="B44" s="23">
        <f>'Envio de CTes'!B44</f>
        <v>0</v>
      </c>
      <c r="C44" s="7" t="str">
        <f>IFERROR(VLOOKUP(B44,E2:F145,2,0),"Nome não Cadastrado")</f>
        <v>Nome não Cadastrado</v>
      </c>
      <c r="D44" s="3" t="s">
        <v>7</v>
      </c>
      <c r="E44" s="37"/>
      <c r="F44" s="34"/>
      <c r="G44" s="34"/>
      <c r="H44" s="35"/>
      <c r="I44" s="36"/>
    </row>
    <row r="45" spans="1:9" ht="16.5" x14ac:dyDescent="0.25">
      <c r="A45">
        <f t="shared" si="2"/>
        <v>0</v>
      </c>
      <c r="B45" s="23">
        <f>'Envio de CTes'!B45</f>
        <v>0</v>
      </c>
      <c r="C45" s="7" t="str">
        <f>IFERROR(VLOOKUP(B45,E2:F145,2,0),"Nome não Cadastrado")</f>
        <v>Nome não Cadastrado</v>
      </c>
      <c r="D45" s="3" t="s">
        <v>7</v>
      </c>
      <c r="E45" s="33"/>
      <c r="F45" s="41"/>
      <c r="G45" s="34"/>
      <c r="H45" s="35"/>
      <c r="I45" s="36"/>
    </row>
    <row r="46" spans="1:9" ht="16.5" x14ac:dyDescent="0.25">
      <c r="A46">
        <f t="shared" si="2"/>
        <v>0</v>
      </c>
      <c r="B46" s="23">
        <f>'Envio de CTes'!B46</f>
        <v>0</v>
      </c>
      <c r="C46" s="7" t="str">
        <f>IFERROR(VLOOKUP(B46,E2:F145,2,0),"Nome não Cadastrado")</f>
        <v>Nome não Cadastrado</v>
      </c>
      <c r="D46" s="3" t="s">
        <v>7</v>
      </c>
      <c r="E46" s="33"/>
      <c r="F46" s="34"/>
      <c r="G46" s="34"/>
      <c r="H46" s="35"/>
      <c r="I46" s="36"/>
    </row>
    <row r="47" spans="1:9" ht="16.5" x14ac:dyDescent="0.25">
      <c r="A47">
        <f t="shared" si="2"/>
        <v>0</v>
      </c>
      <c r="B47" s="23">
        <f>'Envio de CTes'!B47</f>
        <v>0</v>
      </c>
      <c r="C47" s="7" t="str">
        <f>IFERROR(VLOOKUP(B47,E2:F145,2,0),"Nome não Cadastrado")</f>
        <v>Nome não Cadastrado</v>
      </c>
      <c r="D47" s="3" t="s">
        <v>7</v>
      </c>
      <c r="E47" s="33"/>
      <c r="F47" s="34"/>
      <c r="G47" s="34"/>
      <c r="H47" s="35"/>
      <c r="I47" s="36"/>
    </row>
    <row r="48" spans="1:9" ht="16.5" x14ac:dyDescent="0.25">
      <c r="A48">
        <f t="shared" si="2"/>
        <v>0</v>
      </c>
      <c r="B48" s="23">
        <f>'Envio de CTes'!B48</f>
        <v>0</v>
      </c>
      <c r="C48" s="7" t="str">
        <f>IFERROR(VLOOKUP(B48,E2:F145,2,0),"Nome não Cadastrado")</f>
        <v>Nome não Cadastrado</v>
      </c>
      <c r="D48" s="3" t="s">
        <v>7</v>
      </c>
      <c r="E48" s="33"/>
      <c r="F48" s="34"/>
      <c r="G48" s="34"/>
      <c r="H48" s="35"/>
      <c r="I48" s="36"/>
    </row>
    <row r="49" spans="1:9" ht="16.5" x14ac:dyDescent="0.25">
      <c r="A49">
        <f t="shared" si="2"/>
        <v>0</v>
      </c>
      <c r="B49" s="23">
        <f>'Envio de CTes'!B49</f>
        <v>0</v>
      </c>
      <c r="C49" s="7" t="str">
        <f>IFERROR(VLOOKUP(B49,E2:F145,2,0),"Nome não Cadastrado")</f>
        <v>Nome não Cadastrado</v>
      </c>
      <c r="D49" s="3" t="s">
        <v>7</v>
      </c>
      <c r="E49" s="33"/>
      <c r="F49" s="34"/>
      <c r="G49" s="34"/>
      <c r="H49" s="35"/>
      <c r="I49" s="36"/>
    </row>
    <row r="50" spans="1:9" ht="16.5" x14ac:dyDescent="0.25">
      <c r="A50">
        <f t="shared" si="2"/>
        <v>0</v>
      </c>
      <c r="B50" s="23">
        <f>'Envio de CTes'!B50</f>
        <v>0</v>
      </c>
      <c r="C50" s="7" t="str">
        <f>IFERROR(VLOOKUP(B50,E2:F145,2,0),"Nome não Cadastrado")</f>
        <v>Nome não Cadastrado</v>
      </c>
      <c r="D50" s="3" t="s">
        <v>7</v>
      </c>
      <c r="E50" s="33"/>
      <c r="F50" s="41"/>
      <c r="G50" s="34"/>
      <c r="H50" s="35"/>
      <c r="I50" s="36"/>
    </row>
    <row r="51" spans="1:9" ht="16.5" x14ac:dyDescent="0.25">
      <c r="A51">
        <f t="shared" si="2"/>
        <v>0</v>
      </c>
      <c r="B51" s="23">
        <f>'Envio de CTes'!B51</f>
        <v>0</v>
      </c>
      <c r="C51" s="7" t="str">
        <f>IFERROR(VLOOKUP(B51,E2:F145,2,0),"Nome não Cadastrado")</f>
        <v>Nome não Cadastrado</v>
      </c>
      <c r="D51" s="3" t="s">
        <v>7</v>
      </c>
      <c r="E51" s="38"/>
      <c r="F51" s="34"/>
      <c r="G51" s="34"/>
      <c r="H51" s="35"/>
      <c r="I51" s="36"/>
    </row>
    <row r="52" spans="1:9" ht="16.5" x14ac:dyDescent="0.25">
      <c r="A52">
        <f t="shared" si="2"/>
        <v>0</v>
      </c>
      <c r="B52" s="23">
        <f>'Envio de CTes'!B52</f>
        <v>0</v>
      </c>
      <c r="C52" s="7" t="str">
        <f>IFERROR(VLOOKUP(B52,E2:F145,2,0),"Nome não Cadastrado")</f>
        <v>Nome não Cadastrado</v>
      </c>
      <c r="D52" s="3" t="s">
        <v>7</v>
      </c>
      <c r="E52" s="38"/>
      <c r="F52" s="34"/>
      <c r="G52" s="34"/>
      <c r="H52" s="35"/>
      <c r="I52" s="36"/>
    </row>
    <row r="53" spans="1:9" ht="16.5" x14ac:dyDescent="0.25">
      <c r="A53">
        <f t="shared" si="2"/>
        <v>0</v>
      </c>
      <c r="B53" s="23">
        <f>'Envio de CTes'!B53</f>
        <v>0</v>
      </c>
      <c r="C53" s="7" t="str">
        <f>IFERROR(VLOOKUP(B53,E2:F145,2,0),"Nome não Cadastrado")</f>
        <v>Nome não Cadastrado</v>
      </c>
      <c r="D53" s="3" t="s">
        <v>7</v>
      </c>
      <c r="E53" s="38"/>
      <c r="F53" s="34"/>
      <c r="G53" s="34"/>
      <c r="H53" s="35"/>
      <c r="I53" s="36"/>
    </row>
    <row r="54" spans="1:9" ht="16.5" x14ac:dyDescent="0.25">
      <c r="A54">
        <f t="shared" si="2"/>
        <v>0</v>
      </c>
      <c r="B54" s="23">
        <f>'Envio de CTes'!B54</f>
        <v>0</v>
      </c>
      <c r="C54" s="7" t="str">
        <f>IFERROR(VLOOKUP(B54,E2:F145,2,0),"Nome não Cadastrado")</f>
        <v>Nome não Cadastrado</v>
      </c>
      <c r="D54" s="3" t="s">
        <v>7</v>
      </c>
      <c r="E54" s="38"/>
      <c r="F54" s="34"/>
      <c r="G54" s="34"/>
      <c r="H54" s="35"/>
      <c r="I54" s="36"/>
    </row>
    <row r="55" spans="1:9" ht="16.5" x14ac:dyDescent="0.25">
      <c r="A55">
        <f t="shared" si="2"/>
        <v>0</v>
      </c>
      <c r="B55" s="23">
        <f>'Envio de CTes'!B55</f>
        <v>0</v>
      </c>
      <c r="C55" s="7" t="str">
        <f>IFERROR(VLOOKUP(B55,E2:F145,2,0),"Nome não Cadastrado")</f>
        <v>Nome não Cadastrado</v>
      </c>
      <c r="D55" s="3" t="s">
        <v>7</v>
      </c>
      <c r="E55" s="38"/>
      <c r="F55" s="34"/>
      <c r="G55" s="34"/>
      <c r="H55" s="35"/>
      <c r="I55" s="36"/>
    </row>
    <row r="56" spans="1:9" ht="16.5" x14ac:dyDescent="0.25">
      <c r="A56">
        <f t="shared" si="2"/>
        <v>0</v>
      </c>
      <c r="B56" s="23">
        <f>'Envio de CTes'!B56</f>
        <v>0</v>
      </c>
      <c r="C56" s="7" t="str">
        <f>IFERROR(VLOOKUP(B56,E2:F145,2,0),"Nome não Cadastrado")</f>
        <v>Nome não Cadastrado</v>
      </c>
      <c r="D56" s="3" t="s">
        <v>7</v>
      </c>
      <c r="E56" s="38"/>
      <c r="F56" s="34"/>
      <c r="G56" s="34"/>
      <c r="H56" s="35"/>
      <c r="I56" s="36"/>
    </row>
    <row r="57" spans="1:9" ht="16.5" x14ac:dyDescent="0.25">
      <c r="A57">
        <f t="shared" si="2"/>
        <v>0</v>
      </c>
      <c r="B57" s="23">
        <f>'Envio de CTes'!B57</f>
        <v>0</v>
      </c>
      <c r="C57" s="7" t="str">
        <f>IFERROR(VLOOKUP(B57,E2:F145,2,0),"Nome não Cadastrado")</f>
        <v>Nome não Cadastrado</v>
      </c>
      <c r="D57" s="3" t="s">
        <v>7</v>
      </c>
      <c r="E57" s="38"/>
      <c r="F57" s="34"/>
      <c r="G57" s="34"/>
      <c r="H57" s="35"/>
      <c r="I57" s="36"/>
    </row>
    <row r="58" spans="1:9" ht="16.5" x14ac:dyDescent="0.25">
      <c r="A58">
        <f t="shared" si="2"/>
        <v>0</v>
      </c>
      <c r="B58" s="23">
        <f>'Envio de CTes'!B58</f>
        <v>0</v>
      </c>
      <c r="C58" s="7" t="str">
        <f>IFERROR(VLOOKUP(B58,E2:F145,2,0),"Nome não Cadastrado")</f>
        <v>Nome não Cadastrado</v>
      </c>
      <c r="D58" s="3" t="s">
        <v>7</v>
      </c>
      <c r="E58" s="38"/>
      <c r="F58" s="34"/>
      <c r="G58" s="34"/>
      <c r="H58" s="35"/>
      <c r="I58" s="36"/>
    </row>
    <row r="59" spans="1:9" ht="16.5" x14ac:dyDescent="0.25">
      <c r="A59">
        <f t="shared" si="2"/>
        <v>0</v>
      </c>
      <c r="B59" s="23">
        <f>'Envio de CTes'!B59</f>
        <v>0</v>
      </c>
      <c r="C59" s="7" t="str">
        <f>IFERROR(VLOOKUP(B59,E2:F145,2,0),"Nome não Cadastrado")</f>
        <v>Nome não Cadastrado</v>
      </c>
      <c r="D59" s="3" t="s">
        <v>7</v>
      </c>
      <c r="E59" s="38"/>
      <c r="F59" s="34"/>
      <c r="G59" s="34"/>
      <c r="H59" s="35"/>
      <c r="I59" s="36"/>
    </row>
    <row r="60" spans="1:9" ht="16.5" x14ac:dyDescent="0.25">
      <c r="A60">
        <f t="shared" si="2"/>
        <v>0</v>
      </c>
      <c r="B60" s="23">
        <f>'Envio de CTes'!B60</f>
        <v>0</v>
      </c>
      <c r="C60" s="7" t="str">
        <f>IFERROR(VLOOKUP(B60,E2:F145,2,0),"Nome não Cadastrado")</f>
        <v>Nome não Cadastrado</v>
      </c>
      <c r="D60" s="3" t="s">
        <v>7</v>
      </c>
      <c r="E60" s="38"/>
      <c r="F60" s="34"/>
      <c r="G60" s="34"/>
      <c r="H60" s="35"/>
      <c r="I60" s="36"/>
    </row>
    <row r="61" spans="1:9" ht="16.5" x14ac:dyDescent="0.25">
      <c r="A61">
        <f t="shared" si="2"/>
        <v>0</v>
      </c>
      <c r="B61" s="23">
        <f>'Envio de CTes'!B61</f>
        <v>0</v>
      </c>
      <c r="C61" s="7" t="str">
        <f>IFERROR(VLOOKUP(B61,E2:F145,2,0),"Nome não Cadastrado")</f>
        <v>Nome não Cadastrado</v>
      </c>
      <c r="D61" s="3" t="s">
        <v>7</v>
      </c>
      <c r="E61" s="38"/>
      <c r="F61" s="34"/>
      <c r="G61" s="34"/>
      <c r="H61" s="35"/>
      <c r="I61" s="36"/>
    </row>
    <row r="62" spans="1:9" ht="16.5" x14ac:dyDescent="0.25">
      <c r="A62">
        <f t="shared" si="2"/>
        <v>0</v>
      </c>
      <c r="B62" s="23">
        <f>'Envio de CTes'!B62</f>
        <v>0</v>
      </c>
      <c r="C62" s="7" t="str">
        <f>IFERROR(VLOOKUP(B62,E2:F145,2,0),"Nome não Cadastrado")</f>
        <v>Nome não Cadastrado</v>
      </c>
      <c r="D62" s="3" t="s">
        <v>7</v>
      </c>
      <c r="E62" s="38"/>
      <c r="F62" s="34"/>
      <c r="G62" s="34"/>
      <c r="H62" s="35"/>
      <c r="I62" s="36"/>
    </row>
    <row r="63" spans="1:9" ht="16.5" x14ac:dyDescent="0.25">
      <c r="A63">
        <f t="shared" si="2"/>
        <v>0</v>
      </c>
      <c r="B63" s="23">
        <f>'Envio de CTes'!B63</f>
        <v>0</v>
      </c>
      <c r="C63" s="7" t="str">
        <f>IFERROR(VLOOKUP(B63,E2:F145,2,0),"Nome não Cadastrado")</f>
        <v>Nome não Cadastrado</v>
      </c>
      <c r="D63" s="3" t="s">
        <v>7</v>
      </c>
      <c r="E63" s="38"/>
      <c r="F63" s="34"/>
      <c r="G63" s="34"/>
      <c r="H63" s="35"/>
      <c r="I63" s="36"/>
    </row>
    <row r="64" spans="1:9" ht="16.5" x14ac:dyDescent="0.25">
      <c r="A64">
        <f t="shared" si="2"/>
        <v>0</v>
      </c>
      <c r="B64" s="23">
        <f>'Envio de CTes'!B64</f>
        <v>0</v>
      </c>
      <c r="C64" s="7" t="str">
        <f>IFERROR(VLOOKUP(B64,E2:F145,2,0),"Nome não Cadastrado")</f>
        <v>Nome não Cadastrado</v>
      </c>
      <c r="D64" s="3" t="s">
        <v>7</v>
      </c>
      <c r="E64" s="38"/>
      <c r="F64" s="34"/>
      <c r="G64" s="34"/>
      <c r="H64" s="35"/>
      <c r="I64" s="36"/>
    </row>
    <row r="65" spans="1:9" ht="16.5" x14ac:dyDescent="0.25">
      <c r="A65">
        <f t="shared" si="2"/>
        <v>0</v>
      </c>
      <c r="B65" s="23">
        <f>'Envio de CTes'!B65</f>
        <v>0</v>
      </c>
      <c r="C65" s="7" t="str">
        <f>IFERROR(VLOOKUP(B65,E2:F145,2,0),"Nome não Cadastrado")</f>
        <v>Nome não Cadastrado</v>
      </c>
      <c r="D65" s="3" t="s">
        <v>7</v>
      </c>
      <c r="E65" s="38"/>
      <c r="F65" s="34"/>
      <c r="G65" s="34"/>
      <c r="H65" s="35"/>
      <c r="I65" s="36"/>
    </row>
    <row r="66" spans="1:9" ht="16.5" x14ac:dyDescent="0.25">
      <c r="A66">
        <f t="shared" si="2"/>
        <v>0</v>
      </c>
      <c r="B66" s="23">
        <f>'Envio de CTes'!B66</f>
        <v>0</v>
      </c>
      <c r="C66" s="7" t="str">
        <f>IFERROR(VLOOKUP(B66,E2:F145,2,0),"Nome não Cadastrado")</f>
        <v>Nome não Cadastrado</v>
      </c>
      <c r="D66" s="3" t="s">
        <v>7</v>
      </c>
      <c r="E66" s="38"/>
      <c r="F66" s="34"/>
      <c r="G66" s="34"/>
      <c r="H66" s="35"/>
      <c r="I66" s="36"/>
    </row>
    <row r="67" spans="1:9" ht="16.5" x14ac:dyDescent="0.25">
      <c r="A67">
        <f t="shared" ref="A67:A130" si="3">IFERROR(VLOOKUP(B67,H66:I216,2,0),"Nome não Cadastrado")</f>
        <v>0</v>
      </c>
      <c r="B67" s="23">
        <f>'Envio de CTes'!B67</f>
        <v>0</v>
      </c>
      <c r="C67" s="7" t="str">
        <f>IFERROR(VLOOKUP(B67,E2:F145,2,0),"Nome não Cadastrado")</f>
        <v>Nome não Cadastrado</v>
      </c>
      <c r="D67" s="3" t="s">
        <v>7</v>
      </c>
      <c r="E67" s="38"/>
      <c r="F67" s="34"/>
      <c r="G67" s="34"/>
      <c r="H67" s="35"/>
      <c r="I67" s="36"/>
    </row>
    <row r="68" spans="1:9" ht="16.5" x14ac:dyDescent="0.25">
      <c r="A68">
        <f t="shared" si="3"/>
        <v>0</v>
      </c>
      <c r="B68" s="23">
        <f>'Envio de CTes'!B68</f>
        <v>0</v>
      </c>
      <c r="C68" s="7" t="str">
        <f>IFERROR(VLOOKUP(B68,E2:F145,2,0),"Nome não Cadastrado")</f>
        <v>Nome não Cadastrado</v>
      </c>
      <c r="D68" s="3" t="s">
        <v>7</v>
      </c>
      <c r="E68" s="38"/>
      <c r="F68" s="34"/>
      <c r="G68" s="34"/>
      <c r="H68" s="35"/>
      <c r="I68" s="36"/>
    </row>
    <row r="69" spans="1:9" ht="16.5" x14ac:dyDescent="0.25">
      <c r="A69">
        <f t="shared" si="3"/>
        <v>0</v>
      </c>
      <c r="B69" s="23">
        <f>'Envio de CTes'!B69</f>
        <v>0</v>
      </c>
      <c r="C69" s="7" t="str">
        <f>IFERROR(VLOOKUP(B69,E2:F145,2,0),"Nome não Cadastrado")</f>
        <v>Nome não Cadastrado</v>
      </c>
      <c r="D69" s="3" t="s">
        <v>7</v>
      </c>
      <c r="E69" s="38"/>
      <c r="F69" s="34"/>
      <c r="G69" s="34"/>
      <c r="H69" s="35"/>
      <c r="I69" s="36"/>
    </row>
    <row r="70" spans="1:9" ht="16.5" x14ac:dyDescent="0.25">
      <c r="A70">
        <f t="shared" si="3"/>
        <v>0</v>
      </c>
      <c r="B70" s="7">
        <f>'[1]Envio de CTes'!B70</f>
        <v>0</v>
      </c>
      <c r="C70" s="7" t="str">
        <f>IFERROR(VLOOKUP(B70,E2:F145,2,0),"Nome não Cadastrado")</f>
        <v>Nome não Cadastrado</v>
      </c>
      <c r="D70" s="3" t="s">
        <v>7</v>
      </c>
      <c r="E70" s="38"/>
      <c r="F70" s="34"/>
      <c r="G70" s="34"/>
      <c r="H70" s="35"/>
      <c r="I70" s="36"/>
    </row>
    <row r="71" spans="1:9" ht="16.5" x14ac:dyDescent="0.25">
      <c r="A71">
        <f t="shared" si="3"/>
        <v>0</v>
      </c>
      <c r="B71" s="7">
        <f>'[1]Envio de CTes'!B71</f>
        <v>0</v>
      </c>
      <c r="C71" s="7" t="str">
        <f>IFERROR(VLOOKUP(B71,E2:F145,2,0),"Nome não Cadastrado")</f>
        <v>Nome não Cadastrado</v>
      </c>
      <c r="D71" s="3" t="s">
        <v>7</v>
      </c>
      <c r="E71" s="38"/>
      <c r="F71" s="34"/>
      <c r="G71" s="34"/>
      <c r="H71" s="35"/>
      <c r="I71" s="36"/>
    </row>
    <row r="72" spans="1:9" ht="16.5" x14ac:dyDescent="0.25">
      <c r="A72">
        <f t="shared" si="3"/>
        <v>0</v>
      </c>
      <c r="B72" s="7">
        <f>'[1]Envio de CTes'!B72</f>
        <v>0</v>
      </c>
      <c r="C72" s="7" t="str">
        <f>IFERROR(VLOOKUP(B72,E2:F145,2,0),"Nome não Cadastrado")</f>
        <v>Nome não Cadastrado</v>
      </c>
      <c r="D72" s="3" t="s">
        <v>7</v>
      </c>
      <c r="E72" s="38"/>
      <c r="F72" s="34"/>
      <c r="G72" s="34"/>
      <c r="H72" s="35"/>
      <c r="I72" s="36"/>
    </row>
    <row r="73" spans="1:9" ht="16.5" x14ac:dyDescent="0.25">
      <c r="A73">
        <f t="shared" si="3"/>
        <v>0</v>
      </c>
      <c r="B73" s="7">
        <f>'[1]Envio de CTes'!B73</f>
        <v>0</v>
      </c>
      <c r="C73" s="7" t="str">
        <f>IFERROR(VLOOKUP(B73,E2:F145,2,0),"Nome não Cadastrado")</f>
        <v>Nome não Cadastrado</v>
      </c>
      <c r="D73" s="3" t="s">
        <v>7</v>
      </c>
      <c r="E73" s="38"/>
      <c r="F73" s="34"/>
      <c r="G73" s="34"/>
      <c r="H73" s="35"/>
      <c r="I73" s="36"/>
    </row>
    <row r="74" spans="1:9" ht="16.5" x14ac:dyDescent="0.25">
      <c r="A74">
        <f t="shared" si="3"/>
        <v>0</v>
      </c>
      <c r="B74" s="7">
        <f>'[1]Envio de CTes'!B74</f>
        <v>0</v>
      </c>
      <c r="C74" s="7" t="str">
        <f>IFERROR(VLOOKUP(B74,E2:F145,2,0),"Nome não Cadastrado")</f>
        <v>Nome não Cadastrado</v>
      </c>
      <c r="D74" s="3" t="s">
        <v>7</v>
      </c>
      <c r="E74" s="38"/>
      <c r="F74" s="34"/>
      <c r="G74" s="34"/>
      <c r="H74" s="35"/>
      <c r="I74" s="36"/>
    </row>
    <row r="75" spans="1:9" ht="16.5" x14ac:dyDescent="0.25">
      <c r="A75">
        <f t="shared" si="3"/>
        <v>0</v>
      </c>
      <c r="B75" s="7">
        <f>'[1]Envio de CTes'!B75</f>
        <v>0</v>
      </c>
      <c r="C75" s="7" t="str">
        <f>IFERROR(VLOOKUP(B75,E2:F145,2,0),"Nome não Cadastrado")</f>
        <v>Nome não Cadastrado</v>
      </c>
      <c r="D75" s="3" t="s">
        <v>7</v>
      </c>
      <c r="E75" s="38"/>
      <c r="F75" s="34"/>
      <c r="G75" s="34"/>
      <c r="H75" s="35"/>
      <c r="I75" s="36"/>
    </row>
    <row r="76" spans="1:9" ht="16.5" x14ac:dyDescent="0.25">
      <c r="A76">
        <f t="shared" si="3"/>
        <v>0</v>
      </c>
      <c r="B76" s="7">
        <f>'[1]Envio de CTes'!B76</f>
        <v>0</v>
      </c>
      <c r="C76" s="7" t="str">
        <f>IFERROR(VLOOKUP(B76,E2:F145,2,0),"Nome não Cadastrado")</f>
        <v>Nome não Cadastrado</v>
      </c>
      <c r="D76" s="3" t="s">
        <v>7</v>
      </c>
      <c r="E76" s="38"/>
      <c r="F76" s="34"/>
      <c r="G76" s="34"/>
      <c r="H76" s="35"/>
      <c r="I76" s="36"/>
    </row>
    <row r="77" spans="1:9" ht="16.5" x14ac:dyDescent="0.25">
      <c r="A77">
        <f t="shared" si="3"/>
        <v>0</v>
      </c>
      <c r="B77" s="7">
        <f>'[1]Envio de CTes'!B77</f>
        <v>0</v>
      </c>
      <c r="C77" s="7" t="str">
        <f>IFERROR(VLOOKUP(B77,E2:F145,2,0),"Nome não Cadastrado")</f>
        <v>Nome não Cadastrado</v>
      </c>
      <c r="D77" s="3" t="s">
        <v>7</v>
      </c>
      <c r="E77" s="38"/>
      <c r="F77" s="34"/>
      <c r="G77" s="34"/>
      <c r="H77" s="35"/>
      <c r="I77" s="36"/>
    </row>
    <row r="78" spans="1:9" ht="16.5" x14ac:dyDescent="0.25">
      <c r="A78">
        <f t="shared" si="3"/>
        <v>0</v>
      </c>
      <c r="B78" s="7">
        <f>'[1]Envio de CTes'!B78</f>
        <v>0</v>
      </c>
      <c r="C78" s="7" t="str">
        <f>IFERROR(VLOOKUP(B78,E2:F145,2,0),"Nome não Cadastrado")</f>
        <v>Nome não Cadastrado</v>
      </c>
      <c r="D78" s="3" t="s">
        <v>7</v>
      </c>
      <c r="E78" s="38"/>
      <c r="F78" s="34"/>
      <c r="G78" s="34"/>
      <c r="H78" s="35"/>
      <c r="I78" s="36"/>
    </row>
    <row r="79" spans="1:9" ht="16.5" x14ac:dyDescent="0.25">
      <c r="A79">
        <f t="shared" si="3"/>
        <v>0</v>
      </c>
      <c r="B79" s="7">
        <f>'[1]Envio de CTes'!B79</f>
        <v>0</v>
      </c>
      <c r="C79" s="7" t="str">
        <f>IFERROR(VLOOKUP(B79,E2:F145,2,0),"Nome não Cadastrado")</f>
        <v>Nome não Cadastrado</v>
      </c>
      <c r="D79" s="3" t="s">
        <v>7</v>
      </c>
      <c r="E79" s="38"/>
      <c r="F79" s="34"/>
      <c r="G79" s="34"/>
      <c r="H79" s="35"/>
      <c r="I79" s="36"/>
    </row>
    <row r="80" spans="1:9" ht="16.5" x14ac:dyDescent="0.25">
      <c r="A80">
        <f t="shared" si="3"/>
        <v>0</v>
      </c>
      <c r="B80" s="7">
        <f>'[1]Envio de CTes'!B80</f>
        <v>0</v>
      </c>
      <c r="C80" s="7" t="str">
        <f>IFERROR(VLOOKUP(B80,E2:F145,2,0),"Nome não Cadastrado")</f>
        <v>Nome não Cadastrado</v>
      </c>
      <c r="D80" s="3" t="s">
        <v>7</v>
      </c>
      <c r="E80" s="38"/>
      <c r="F80" s="34"/>
      <c r="G80" s="34"/>
      <c r="H80" s="35"/>
      <c r="I80" s="36"/>
    </row>
    <row r="81" spans="1:9" ht="16.5" x14ac:dyDescent="0.25">
      <c r="A81">
        <f t="shared" si="3"/>
        <v>0</v>
      </c>
      <c r="B81" s="7">
        <f>'[1]Envio de CTes'!B81</f>
        <v>0</v>
      </c>
      <c r="C81" s="7" t="str">
        <f>IFERROR(VLOOKUP(B81,E2:F145,2,0),"Nome não Cadastrado")</f>
        <v>Nome não Cadastrado</v>
      </c>
      <c r="D81" s="3" t="s">
        <v>7</v>
      </c>
      <c r="E81" s="38"/>
      <c r="F81" s="34"/>
      <c r="G81" s="34"/>
      <c r="H81" s="35"/>
      <c r="I81" s="36"/>
    </row>
    <row r="82" spans="1:9" ht="16.5" x14ac:dyDescent="0.25">
      <c r="A82">
        <f t="shared" si="3"/>
        <v>0</v>
      </c>
      <c r="B82" s="7">
        <f>'[1]Envio de CTes'!B82</f>
        <v>0</v>
      </c>
      <c r="C82" s="7" t="str">
        <f>IFERROR(VLOOKUP(B82,E2:F145,2,0),"Nome não Cadastrado")</f>
        <v>Nome não Cadastrado</v>
      </c>
      <c r="D82" s="3" t="s">
        <v>7</v>
      </c>
      <c r="E82" s="38"/>
      <c r="F82" s="34"/>
      <c r="G82" s="34"/>
      <c r="H82" s="35"/>
      <c r="I82" s="36"/>
    </row>
    <row r="83" spans="1:9" ht="16.5" x14ac:dyDescent="0.25">
      <c r="A83">
        <f t="shared" si="3"/>
        <v>0</v>
      </c>
      <c r="B83" s="7">
        <f>'[1]Envio de CTes'!B83</f>
        <v>0</v>
      </c>
      <c r="C83" s="7" t="str">
        <f>IFERROR(VLOOKUP(B83,E2:F145,2,0),"Nome não Cadastrado")</f>
        <v>Nome não Cadastrado</v>
      </c>
      <c r="D83" s="3" t="s">
        <v>7</v>
      </c>
      <c r="E83" s="38"/>
      <c r="F83" s="34"/>
      <c r="G83" s="34"/>
      <c r="H83" s="35"/>
      <c r="I83" s="36"/>
    </row>
    <row r="84" spans="1:9" ht="16.5" x14ac:dyDescent="0.25">
      <c r="A84">
        <f t="shared" si="3"/>
        <v>0</v>
      </c>
      <c r="B84" s="7">
        <f>'[1]Envio de CTes'!B84</f>
        <v>0</v>
      </c>
      <c r="C84" s="7" t="str">
        <f>IFERROR(VLOOKUP(B84,E2:F145,2,0),"Nome não Cadastrado")</f>
        <v>Nome não Cadastrado</v>
      </c>
      <c r="D84" s="3" t="s">
        <v>7</v>
      </c>
      <c r="E84" s="38"/>
      <c r="F84" s="34"/>
      <c r="G84" s="34"/>
      <c r="H84" s="35"/>
      <c r="I84" s="36"/>
    </row>
    <row r="85" spans="1:9" ht="16.5" x14ac:dyDescent="0.25">
      <c r="A85">
        <f t="shared" si="3"/>
        <v>0</v>
      </c>
      <c r="B85" s="7">
        <f>'[1]Envio de CTes'!B85</f>
        <v>0</v>
      </c>
      <c r="C85" s="7" t="str">
        <f>IFERROR(VLOOKUP(B85,E2:F145,2,0),"Nome não Cadastrado")</f>
        <v>Nome não Cadastrado</v>
      </c>
      <c r="D85" s="3" t="s">
        <v>7</v>
      </c>
      <c r="E85" s="38"/>
      <c r="F85" s="34"/>
      <c r="G85" s="34"/>
      <c r="H85" s="35"/>
      <c r="I85" s="36"/>
    </row>
    <row r="86" spans="1:9" ht="16.5" x14ac:dyDescent="0.25">
      <c r="A86">
        <f t="shared" si="3"/>
        <v>0</v>
      </c>
      <c r="B86" s="7">
        <f>'[1]Envio de CTes'!B86</f>
        <v>0</v>
      </c>
      <c r="C86" s="7" t="str">
        <f>IFERROR(VLOOKUP(B86,E2:F145,2,0),"Nome não Cadastrado")</f>
        <v>Nome não Cadastrado</v>
      </c>
      <c r="D86" s="3" t="s">
        <v>7</v>
      </c>
      <c r="E86" s="38"/>
      <c r="F86" s="34"/>
      <c r="G86" s="34"/>
      <c r="H86" s="35"/>
      <c r="I86" s="36"/>
    </row>
    <row r="87" spans="1:9" ht="16.5" x14ac:dyDescent="0.25">
      <c r="A87">
        <f t="shared" si="3"/>
        <v>0</v>
      </c>
      <c r="B87" s="7">
        <f>'[1]Envio de CTes'!B87</f>
        <v>0</v>
      </c>
      <c r="C87" s="7" t="str">
        <f>IFERROR(VLOOKUP(B87,E2:F145,2,0),"Nome não Cadastrado")</f>
        <v>Nome não Cadastrado</v>
      </c>
      <c r="D87" s="3" t="s">
        <v>7</v>
      </c>
      <c r="E87" s="38"/>
      <c r="F87" s="34"/>
      <c r="G87" s="34"/>
      <c r="H87" s="35"/>
      <c r="I87" s="36"/>
    </row>
    <row r="88" spans="1:9" ht="16.5" x14ac:dyDescent="0.25">
      <c r="A88">
        <f t="shared" si="3"/>
        <v>0</v>
      </c>
      <c r="B88" s="7">
        <f>'[1]Envio de CTes'!B88</f>
        <v>0</v>
      </c>
      <c r="C88" s="7" t="str">
        <f>IFERROR(VLOOKUP(B88,E2:F145,2,0),"Nome não Cadastrado")</f>
        <v>Nome não Cadastrado</v>
      </c>
      <c r="D88" s="3" t="s">
        <v>7</v>
      </c>
      <c r="E88" s="38"/>
      <c r="F88" s="34"/>
      <c r="G88" s="34" t="s">
        <v>7</v>
      </c>
      <c r="H88" s="35">
        <f>E88</f>
        <v>0</v>
      </c>
      <c r="I88" s="36"/>
    </row>
    <row r="89" spans="1:9" ht="16.5" x14ac:dyDescent="0.25">
      <c r="A89">
        <f t="shared" si="3"/>
        <v>0</v>
      </c>
      <c r="B89" s="7">
        <f>'[1]Envio de CTes'!B89</f>
        <v>0</v>
      </c>
      <c r="C89" s="7" t="str">
        <f>IFERROR(VLOOKUP(B89,E2:F145,2,0),"Nome não Cadastrado")</f>
        <v>Nome não Cadastrado</v>
      </c>
      <c r="D89" s="3" t="s">
        <v>7</v>
      </c>
      <c r="E89" s="38"/>
      <c r="F89" s="34"/>
      <c r="G89" s="34" t="s">
        <v>7</v>
      </c>
      <c r="H89" s="35">
        <f>E89</f>
        <v>0</v>
      </c>
      <c r="I89" s="36"/>
    </row>
    <row r="90" spans="1:9" ht="16.5" x14ac:dyDescent="0.25">
      <c r="A90">
        <f t="shared" si="3"/>
        <v>0</v>
      </c>
      <c r="B90" s="7">
        <f>'[1]Envio de CTes'!B90</f>
        <v>0</v>
      </c>
      <c r="C90" s="7" t="str">
        <f>IFERROR(VLOOKUP(B90,E2:F145,2,0),"Nome não Cadastrado")</f>
        <v>Nome não Cadastrado</v>
      </c>
      <c r="D90" s="3" t="s">
        <v>7</v>
      </c>
      <c r="E90" s="38"/>
      <c r="F90" s="34"/>
      <c r="G90" s="34" t="s">
        <v>7</v>
      </c>
      <c r="H90" s="35">
        <f>E90</f>
        <v>0</v>
      </c>
      <c r="I90" s="36"/>
    </row>
    <row r="91" spans="1:9" ht="16.5" x14ac:dyDescent="0.25">
      <c r="A91">
        <f t="shared" si="3"/>
        <v>0</v>
      </c>
      <c r="B91" s="7">
        <f>'[1]Envio de CTes'!B91</f>
        <v>0</v>
      </c>
      <c r="C91" s="7" t="str">
        <f>IFERROR(VLOOKUP(B91,E2:F145,2,0),"Nome não Cadastrado")</f>
        <v>Nome não Cadastrado</v>
      </c>
      <c r="D91" s="3" t="s">
        <v>7</v>
      </c>
      <c r="E91" s="38"/>
      <c r="F91" s="34"/>
      <c r="G91" s="34" t="s">
        <v>7</v>
      </c>
      <c r="H91" s="35">
        <f>E91</f>
        <v>0</v>
      </c>
      <c r="I91" s="36"/>
    </row>
    <row r="92" spans="1:9" ht="16.5" x14ac:dyDescent="0.25">
      <c r="A92">
        <f t="shared" si="3"/>
        <v>0</v>
      </c>
      <c r="B92" s="7">
        <f>'[1]Envio de CTes'!B92</f>
        <v>0</v>
      </c>
      <c r="C92" s="7" t="str">
        <f>IFERROR(VLOOKUP(B92,E2:F145,2,0),"Nome não Cadastrado")</f>
        <v>Nome não Cadastrado</v>
      </c>
      <c r="D92" s="3" t="s">
        <v>7</v>
      </c>
      <c r="E92" s="38"/>
      <c r="F92" s="34"/>
      <c r="G92" s="34" t="s">
        <v>7</v>
      </c>
      <c r="H92" s="35">
        <f>E92</f>
        <v>0</v>
      </c>
      <c r="I92" s="36"/>
    </row>
    <row r="93" spans="1:9" ht="16.5" x14ac:dyDescent="0.25">
      <c r="A93">
        <f t="shared" si="3"/>
        <v>0</v>
      </c>
      <c r="B93" s="7">
        <f>'[1]Envio de CTes'!B93</f>
        <v>0</v>
      </c>
      <c r="C93" s="7" t="str">
        <f>IFERROR(VLOOKUP(B93,E2:F145,2,0),"Nome não Cadastrado")</f>
        <v>Nome não Cadastrado</v>
      </c>
      <c r="D93" s="3" t="s">
        <v>7</v>
      </c>
      <c r="E93" s="38"/>
      <c r="F93" s="34"/>
      <c r="G93" s="34" t="s">
        <v>7</v>
      </c>
      <c r="H93" s="35">
        <f>E93</f>
        <v>0</v>
      </c>
      <c r="I93" s="36"/>
    </row>
    <row r="94" spans="1:9" ht="16.5" x14ac:dyDescent="0.25">
      <c r="A94">
        <f t="shared" si="3"/>
        <v>0</v>
      </c>
      <c r="B94" s="7">
        <f>'[1]Envio de CTes'!B94</f>
        <v>0</v>
      </c>
      <c r="C94" s="7" t="str">
        <f>IFERROR(VLOOKUP(B94,E2:F145,2,0),"Nome não Cadastrado")</f>
        <v>Nome não Cadastrado</v>
      </c>
      <c r="D94" s="3" t="s">
        <v>7</v>
      </c>
      <c r="E94" s="38"/>
      <c r="F94" s="34"/>
      <c r="G94" s="34" t="s">
        <v>7</v>
      </c>
      <c r="H94" s="35">
        <f>E94</f>
        <v>0</v>
      </c>
      <c r="I94" s="36"/>
    </row>
    <row r="95" spans="1:9" ht="16.5" x14ac:dyDescent="0.25">
      <c r="A95">
        <f t="shared" si="3"/>
        <v>0</v>
      </c>
      <c r="B95" s="7">
        <f>'[1]Envio de CTes'!B95</f>
        <v>0</v>
      </c>
      <c r="C95" s="7" t="str">
        <f>IFERROR(VLOOKUP(B95,E2:F145,2,0),"Nome não Cadastrado")</f>
        <v>Nome não Cadastrado</v>
      </c>
      <c r="D95" s="3" t="s">
        <v>7</v>
      </c>
      <c r="E95" s="38"/>
      <c r="F95" s="34"/>
      <c r="G95" s="34" t="s">
        <v>7</v>
      </c>
      <c r="H95" s="35">
        <f>E95</f>
        <v>0</v>
      </c>
      <c r="I95" s="36"/>
    </row>
    <row r="96" spans="1:9" ht="16.5" x14ac:dyDescent="0.25">
      <c r="A96">
        <f t="shared" si="3"/>
        <v>0</v>
      </c>
      <c r="B96" s="7">
        <f>'[1]Envio de CTes'!B96</f>
        <v>0</v>
      </c>
      <c r="C96" s="7" t="str">
        <f>IFERROR(VLOOKUP(B96,E2:F145,2,0),"Nome não Cadastrado")</f>
        <v>Nome não Cadastrado</v>
      </c>
      <c r="D96" s="3" t="s">
        <v>7</v>
      </c>
      <c r="E96" s="38"/>
      <c r="F96" s="34"/>
      <c r="G96" s="34" t="s">
        <v>7</v>
      </c>
      <c r="H96" s="35">
        <f>E96</f>
        <v>0</v>
      </c>
      <c r="I96" s="36"/>
    </row>
    <row r="97" spans="1:9" ht="16.5" x14ac:dyDescent="0.25">
      <c r="A97">
        <f t="shared" si="3"/>
        <v>0</v>
      </c>
      <c r="B97" s="7">
        <f>'[1]Envio de CTes'!B97</f>
        <v>0</v>
      </c>
      <c r="C97" s="7" t="str">
        <f>IFERROR(VLOOKUP(B97,E2:F145,2,0),"Nome não Cadastrado")</f>
        <v>Nome não Cadastrado</v>
      </c>
      <c r="D97" s="3" t="s">
        <v>7</v>
      </c>
      <c r="E97" s="38"/>
      <c r="F97" s="34"/>
      <c r="G97" s="34" t="s">
        <v>7</v>
      </c>
      <c r="H97" s="35">
        <f>E97</f>
        <v>0</v>
      </c>
      <c r="I97" s="36"/>
    </row>
    <row r="98" spans="1:9" ht="16.5" x14ac:dyDescent="0.25">
      <c r="A98">
        <f t="shared" si="3"/>
        <v>0</v>
      </c>
      <c r="B98" s="7">
        <f>'[1]Envio de CTes'!B98</f>
        <v>0</v>
      </c>
      <c r="C98" s="7" t="str">
        <f>IFERROR(VLOOKUP(B98,E2:F145,2,0),"Nome não Cadastrado")</f>
        <v>Nome não Cadastrado</v>
      </c>
      <c r="D98" s="3" t="s">
        <v>7</v>
      </c>
      <c r="E98" s="38"/>
      <c r="F98" s="34"/>
      <c r="G98" s="34" t="s">
        <v>7</v>
      </c>
      <c r="H98" s="35">
        <f>E98</f>
        <v>0</v>
      </c>
      <c r="I98" s="36"/>
    </row>
    <row r="99" spans="1:9" ht="16.5" x14ac:dyDescent="0.25">
      <c r="A99">
        <f t="shared" si="3"/>
        <v>0</v>
      </c>
      <c r="B99" s="7">
        <f>'[1]Envio de CTes'!B99</f>
        <v>0</v>
      </c>
      <c r="C99" s="7" t="str">
        <f>IFERROR(VLOOKUP(B99,E2:F145,2,0),"Nome não Cadastrado")</f>
        <v>Nome não Cadastrado</v>
      </c>
      <c r="D99" s="3" t="s">
        <v>7</v>
      </c>
      <c r="E99" s="38"/>
      <c r="F99" s="34"/>
      <c r="G99" s="34" t="s">
        <v>7</v>
      </c>
      <c r="H99" s="35">
        <f>E99</f>
        <v>0</v>
      </c>
      <c r="I99" s="36"/>
    </row>
    <row r="100" spans="1:9" ht="16.5" x14ac:dyDescent="0.25">
      <c r="A100">
        <f t="shared" si="3"/>
        <v>0</v>
      </c>
      <c r="B100" s="7">
        <f>'[1]Envio de CTes'!B100</f>
        <v>0</v>
      </c>
      <c r="C100" s="7" t="str">
        <f>IFERROR(VLOOKUP(B100,E2:F145,2,0),"Nome não Cadastrado")</f>
        <v>Nome não Cadastrado</v>
      </c>
      <c r="D100" s="3" t="s">
        <v>7</v>
      </c>
      <c r="E100" s="38"/>
      <c r="F100" s="34"/>
      <c r="G100" s="34" t="s">
        <v>7</v>
      </c>
      <c r="H100" s="35">
        <f>E100</f>
        <v>0</v>
      </c>
      <c r="I100" s="36"/>
    </row>
    <row r="101" spans="1:9" ht="16.5" x14ac:dyDescent="0.25">
      <c r="A101">
        <f t="shared" si="3"/>
        <v>0</v>
      </c>
      <c r="B101" s="7">
        <f>'[1]Envio de CTes'!B101</f>
        <v>0</v>
      </c>
      <c r="C101" s="7" t="str">
        <f>IFERROR(VLOOKUP(B101,E2:F145,2,0),"Nome não Cadastrado")</f>
        <v>Nome não Cadastrado</v>
      </c>
      <c r="D101" s="3" t="s">
        <v>7</v>
      </c>
      <c r="E101" s="38"/>
      <c r="F101" s="34"/>
      <c r="G101" s="34" t="s">
        <v>7</v>
      </c>
      <c r="H101" s="35">
        <f>E101</f>
        <v>0</v>
      </c>
      <c r="I101" s="36"/>
    </row>
    <row r="102" spans="1:9" ht="16.5" x14ac:dyDescent="0.25">
      <c r="A102">
        <f t="shared" si="3"/>
        <v>0</v>
      </c>
      <c r="B102" s="7">
        <f>'[1]Envio de CTes'!B102</f>
        <v>0</v>
      </c>
      <c r="C102" s="7" t="str">
        <f>IFERROR(VLOOKUP(B102,E2:F145,2,0),"Nome não Cadastrado")</f>
        <v>Nome não Cadastrado</v>
      </c>
      <c r="D102" s="3" t="s">
        <v>7</v>
      </c>
      <c r="E102" s="38"/>
      <c r="F102" s="34"/>
      <c r="G102" s="34" t="s">
        <v>7</v>
      </c>
      <c r="H102" s="35">
        <f>E102</f>
        <v>0</v>
      </c>
      <c r="I102" s="36"/>
    </row>
    <row r="103" spans="1:9" ht="16.5" x14ac:dyDescent="0.25">
      <c r="A103">
        <f t="shared" si="3"/>
        <v>0</v>
      </c>
      <c r="B103" s="7">
        <f>'[1]Envio de CTes'!B103</f>
        <v>0</v>
      </c>
      <c r="C103" s="7" t="str">
        <f>IFERROR(VLOOKUP(B103,E2:F145,2,0),"Nome não Cadastrado")</f>
        <v>Nome não Cadastrado</v>
      </c>
      <c r="D103" s="3" t="s">
        <v>7</v>
      </c>
      <c r="E103" s="38"/>
      <c r="F103" s="34"/>
      <c r="G103" s="34" t="s">
        <v>7</v>
      </c>
      <c r="H103" s="35">
        <f>E103</f>
        <v>0</v>
      </c>
      <c r="I103" s="36"/>
    </row>
    <row r="104" spans="1:9" ht="16.5" x14ac:dyDescent="0.25">
      <c r="A104">
        <f t="shared" si="3"/>
        <v>0</v>
      </c>
      <c r="B104" s="7">
        <f>'[1]Envio de CTes'!B104</f>
        <v>0</v>
      </c>
      <c r="C104" s="7" t="str">
        <f>IFERROR(VLOOKUP(B104,E2:F145,2,0),"Nome não Cadastrado")</f>
        <v>Nome não Cadastrado</v>
      </c>
      <c r="D104" s="3" t="s">
        <v>7</v>
      </c>
      <c r="E104" s="38"/>
      <c r="F104" s="34"/>
      <c r="G104" s="34" t="s">
        <v>7</v>
      </c>
      <c r="H104" s="35">
        <f>E104</f>
        <v>0</v>
      </c>
      <c r="I104" s="36"/>
    </row>
    <row r="105" spans="1:9" ht="16.5" x14ac:dyDescent="0.25">
      <c r="A105">
        <f t="shared" si="3"/>
        <v>0</v>
      </c>
      <c r="B105" s="7">
        <f>'[1]Envio de CTes'!B105</f>
        <v>0</v>
      </c>
      <c r="C105" s="7" t="str">
        <f>IFERROR(VLOOKUP(B105,E2:F145,2,0),"Nome não Cadastrado")</f>
        <v>Nome não Cadastrado</v>
      </c>
      <c r="D105" s="3" t="s">
        <v>7</v>
      </c>
      <c r="E105" s="38"/>
      <c r="F105" s="34"/>
      <c r="G105" s="34" t="s">
        <v>7</v>
      </c>
      <c r="H105" s="35">
        <f>E105</f>
        <v>0</v>
      </c>
      <c r="I105" s="36"/>
    </row>
    <row r="106" spans="1:9" ht="16.5" x14ac:dyDescent="0.25">
      <c r="A106">
        <f t="shared" si="3"/>
        <v>0</v>
      </c>
      <c r="B106" s="7">
        <f>'[1]Envio de CTes'!B106</f>
        <v>0</v>
      </c>
      <c r="C106" s="7" t="str">
        <f>IFERROR(VLOOKUP(B106,E2:F145,2,0),"Nome não Cadastrado")</f>
        <v>Nome não Cadastrado</v>
      </c>
      <c r="D106" s="3" t="s">
        <v>7</v>
      </c>
      <c r="E106" s="38"/>
      <c r="F106" s="34"/>
      <c r="G106" s="34" t="s">
        <v>7</v>
      </c>
      <c r="H106" s="35">
        <f>E106</f>
        <v>0</v>
      </c>
      <c r="I106" s="36"/>
    </row>
    <row r="107" spans="1:9" ht="16.5" x14ac:dyDescent="0.25">
      <c r="A107">
        <f t="shared" si="3"/>
        <v>0</v>
      </c>
      <c r="B107" s="7">
        <f>'[1]Envio de CTes'!B107</f>
        <v>0</v>
      </c>
      <c r="C107" s="7" t="str">
        <f>IFERROR(VLOOKUP(B107,E2:F145,2,0),"Nome não Cadastrado")</f>
        <v>Nome não Cadastrado</v>
      </c>
      <c r="D107" s="3" t="s">
        <v>7</v>
      </c>
      <c r="E107" s="38"/>
      <c r="F107" s="34"/>
      <c r="G107" s="34" t="s">
        <v>7</v>
      </c>
      <c r="H107" s="35">
        <f>E107</f>
        <v>0</v>
      </c>
      <c r="I107" s="36"/>
    </row>
    <row r="108" spans="1:9" ht="16.5" x14ac:dyDescent="0.25">
      <c r="A108">
        <f t="shared" si="3"/>
        <v>0</v>
      </c>
      <c r="B108" s="7">
        <f>'[1]Envio de CTes'!B108</f>
        <v>0</v>
      </c>
      <c r="C108" s="7" t="str">
        <f>IFERROR(VLOOKUP(B108,E2:F145,2,0),"Nome não Cadastrado")</f>
        <v>Nome não Cadastrado</v>
      </c>
      <c r="D108" s="3" t="s">
        <v>7</v>
      </c>
      <c r="E108" s="38"/>
      <c r="F108" s="34"/>
      <c r="G108" s="34" t="s">
        <v>7</v>
      </c>
      <c r="H108" s="35">
        <f>E108</f>
        <v>0</v>
      </c>
      <c r="I108" s="36"/>
    </row>
    <row r="109" spans="1:9" ht="16.5" x14ac:dyDescent="0.25">
      <c r="A109">
        <f t="shared" si="3"/>
        <v>0</v>
      </c>
      <c r="B109" s="7">
        <f>'[1]Envio de CTes'!B109</f>
        <v>0</v>
      </c>
      <c r="C109" s="7" t="str">
        <f>IFERROR(VLOOKUP(B109,E2:F145,2,0),"Nome não Cadastrado")</f>
        <v>Nome não Cadastrado</v>
      </c>
      <c r="D109" s="3" t="s">
        <v>7</v>
      </c>
      <c r="E109" s="38"/>
      <c r="F109" s="34"/>
      <c r="G109" s="34" t="s">
        <v>7</v>
      </c>
      <c r="H109" s="35">
        <f>E109</f>
        <v>0</v>
      </c>
      <c r="I109" s="36"/>
    </row>
    <row r="110" spans="1:9" ht="16.5" x14ac:dyDescent="0.25">
      <c r="A110">
        <f t="shared" si="3"/>
        <v>0</v>
      </c>
      <c r="B110" s="7">
        <f>'[1]Envio de CTes'!B110</f>
        <v>0</v>
      </c>
      <c r="C110" s="7" t="str">
        <f>IFERROR(VLOOKUP(B110,E2:F145,2,0),"Nome não Cadastrado")</f>
        <v>Nome não Cadastrado</v>
      </c>
      <c r="D110" s="3" t="s">
        <v>7</v>
      </c>
      <c r="E110" s="38"/>
      <c r="F110" s="34"/>
      <c r="G110" s="34" t="s">
        <v>7</v>
      </c>
      <c r="H110" s="35">
        <f>E110</f>
        <v>0</v>
      </c>
      <c r="I110" s="36"/>
    </row>
    <row r="111" spans="1:9" ht="16.5" x14ac:dyDescent="0.25">
      <c r="A111">
        <f t="shared" si="3"/>
        <v>0</v>
      </c>
      <c r="B111" s="7">
        <f>'[1]Envio de CTes'!B111</f>
        <v>0</v>
      </c>
      <c r="C111" s="7" t="str">
        <f>IFERROR(VLOOKUP(B111,E2:F145,2,0),"Nome não Cadastrado")</f>
        <v>Nome não Cadastrado</v>
      </c>
      <c r="D111" s="3" t="s">
        <v>7</v>
      </c>
      <c r="E111" s="38"/>
      <c r="F111" s="34"/>
      <c r="G111" s="34" t="s">
        <v>7</v>
      </c>
      <c r="H111" s="35">
        <f>E111</f>
        <v>0</v>
      </c>
      <c r="I111" s="36"/>
    </row>
    <row r="112" spans="1:9" ht="16.5" x14ac:dyDescent="0.25">
      <c r="A112">
        <f t="shared" si="3"/>
        <v>0</v>
      </c>
      <c r="B112" s="7">
        <f>'[1]Envio de CTes'!B112</f>
        <v>0</v>
      </c>
      <c r="C112" s="7" t="str">
        <f>IFERROR(VLOOKUP(B112,E2:F145,2,0),"Nome não Cadastrado")</f>
        <v>Nome não Cadastrado</v>
      </c>
      <c r="D112" s="3" t="s">
        <v>7</v>
      </c>
      <c r="E112" s="38"/>
      <c r="F112" s="34"/>
      <c r="G112" s="34" t="s">
        <v>7</v>
      </c>
      <c r="H112" s="35">
        <f>E112</f>
        <v>0</v>
      </c>
      <c r="I112" s="36"/>
    </row>
    <row r="113" spans="1:9" ht="16.5" x14ac:dyDescent="0.25">
      <c r="A113">
        <f t="shared" si="3"/>
        <v>0</v>
      </c>
      <c r="B113" s="7">
        <f>'[1]Envio de CTes'!B113</f>
        <v>0</v>
      </c>
      <c r="C113" s="7" t="str">
        <f>IFERROR(VLOOKUP(B113,E2:F145,2,0),"Nome não Cadastrado")</f>
        <v>Nome não Cadastrado</v>
      </c>
      <c r="D113" s="3" t="s">
        <v>7</v>
      </c>
      <c r="E113" s="38"/>
      <c r="F113" s="34"/>
      <c r="G113" s="34" t="s">
        <v>7</v>
      </c>
      <c r="H113" s="35">
        <f>E113</f>
        <v>0</v>
      </c>
      <c r="I113" s="36"/>
    </row>
    <row r="114" spans="1:9" ht="16.5" x14ac:dyDescent="0.25">
      <c r="A114">
        <f t="shared" si="3"/>
        <v>0</v>
      </c>
      <c r="B114" s="7">
        <f>'[1]Envio de CTes'!B114</f>
        <v>0</v>
      </c>
      <c r="C114" s="7" t="str">
        <f>IFERROR(VLOOKUP(B114,E2:F145,2,0),"Nome não Cadastrado")</f>
        <v>Nome não Cadastrado</v>
      </c>
      <c r="D114" s="3" t="s">
        <v>7</v>
      </c>
      <c r="E114" s="38"/>
      <c r="F114" s="34"/>
      <c r="G114" s="34" t="s">
        <v>7</v>
      </c>
      <c r="H114" s="35">
        <f>E114</f>
        <v>0</v>
      </c>
      <c r="I114" s="36"/>
    </row>
    <row r="115" spans="1:9" ht="16.5" x14ac:dyDescent="0.25">
      <c r="A115">
        <f t="shared" si="3"/>
        <v>0</v>
      </c>
      <c r="B115" s="7">
        <f>'[1]Envio de CTes'!B115</f>
        <v>0</v>
      </c>
      <c r="C115" s="7" t="str">
        <f>IFERROR(VLOOKUP(B115,E2:F145,2,0),"Nome não Cadastrado")</f>
        <v>Nome não Cadastrado</v>
      </c>
      <c r="D115" s="3" t="s">
        <v>7</v>
      </c>
      <c r="E115" s="38"/>
      <c r="F115" s="34"/>
      <c r="G115" s="34" t="s">
        <v>7</v>
      </c>
      <c r="H115" s="35">
        <f>E115</f>
        <v>0</v>
      </c>
      <c r="I115" s="36"/>
    </row>
    <row r="116" spans="1:9" ht="16.5" x14ac:dyDescent="0.25">
      <c r="A116">
        <f t="shared" si="3"/>
        <v>0</v>
      </c>
      <c r="B116" s="7">
        <f>'[1]Envio de CTes'!B116</f>
        <v>0</v>
      </c>
      <c r="C116" s="7" t="str">
        <f>IFERROR(VLOOKUP(B116,E2:F145,2,0),"Nome não Cadastrado")</f>
        <v>Nome não Cadastrado</v>
      </c>
      <c r="D116" s="3" t="s">
        <v>7</v>
      </c>
      <c r="E116" s="38"/>
      <c r="F116" s="34"/>
      <c r="G116" s="34" t="s">
        <v>7</v>
      </c>
      <c r="H116" s="35">
        <f>E116</f>
        <v>0</v>
      </c>
      <c r="I116" s="36"/>
    </row>
    <row r="117" spans="1:9" ht="16.5" x14ac:dyDescent="0.25">
      <c r="A117">
        <f t="shared" si="3"/>
        <v>0</v>
      </c>
      <c r="B117" s="7">
        <f>'[1]Envio de CTes'!B117</f>
        <v>0</v>
      </c>
      <c r="C117" s="7" t="str">
        <f>IFERROR(VLOOKUP(B117,E2:F145,2,0),"Nome não Cadastrado")</f>
        <v>Nome não Cadastrado</v>
      </c>
      <c r="D117" s="3" t="s">
        <v>7</v>
      </c>
      <c r="E117" s="38"/>
      <c r="F117" s="34"/>
      <c r="G117" s="34" t="s">
        <v>7</v>
      </c>
      <c r="H117" s="35">
        <f>E117</f>
        <v>0</v>
      </c>
      <c r="I117" s="36"/>
    </row>
    <row r="118" spans="1:9" ht="16.5" x14ac:dyDescent="0.25">
      <c r="A118">
        <f t="shared" si="3"/>
        <v>0</v>
      </c>
      <c r="B118" s="7">
        <f>'[1]Envio de CTes'!B118</f>
        <v>0</v>
      </c>
      <c r="C118" s="7" t="str">
        <f>IFERROR(VLOOKUP(B118,E2:F145,2,0),"Nome não Cadastrado")</f>
        <v>Nome não Cadastrado</v>
      </c>
      <c r="D118" s="3" t="s">
        <v>7</v>
      </c>
      <c r="E118" s="38"/>
      <c r="F118" s="34"/>
      <c r="G118" s="34" t="s">
        <v>7</v>
      </c>
      <c r="H118" s="35">
        <f>E118</f>
        <v>0</v>
      </c>
      <c r="I118" s="36"/>
    </row>
    <row r="119" spans="1:9" ht="16.5" x14ac:dyDescent="0.25">
      <c r="A119">
        <f t="shared" si="3"/>
        <v>0</v>
      </c>
      <c r="B119" s="7">
        <f>'[1]Envio de CTes'!B119</f>
        <v>0</v>
      </c>
      <c r="C119" s="7" t="str">
        <f>IFERROR(VLOOKUP(B119,E2:F145,2,0),"Nome não Cadastrado")</f>
        <v>Nome não Cadastrado</v>
      </c>
      <c r="D119" s="3" t="s">
        <v>7</v>
      </c>
      <c r="E119" s="38"/>
      <c r="F119" s="34"/>
      <c r="G119" s="34" t="s">
        <v>7</v>
      </c>
      <c r="H119" s="35">
        <f>E119</f>
        <v>0</v>
      </c>
      <c r="I119" s="36"/>
    </row>
    <row r="120" spans="1:9" ht="16.5" x14ac:dyDescent="0.25">
      <c r="A120">
        <f t="shared" si="3"/>
        <v>0</v>
      </c>
      <c r="B120" s="7">
        <f>'[1]Envio de CTes'!B120</f>
        <v>0</v>
      </c>
      <c r="C120" s="7" t="str">
        <f>IFERROR(VLOOKUP(B120,E2:F145,2,0),"Nome não Cadastrado")</f>
        <v>Nome não Cadastrado</v>
      </c>
      <c r="D120" s="3" t="s">
        <v>7</v>
      </c>
      <c r="E120" s="38"/>
      <c r="F120" s="34"/>
      <c r="G120" s="34" t="s">
        <v>7</v>
      </c>
      <c r="H120" s="35">
        <f>E120</f>
        <v>0</v>
      </c>
      <c r="I120" s="36"/>
    </row>
    <row r="121" spans="1:9" ht="16.5" x14ac:dyDescent="0.25">
      <c r="A121">
        <f t="shared" si="3"/>
        <v>0</v>
      </c>
      <c r="B121" s="7">
        <f>'[1]Envio de CTes'!B121</f>
        <v>0</v>
      </c>
      <c r="C121" s="7" t="str">
        <f>IFERROR(VLOOKUP(B121,E2:F145,2,0),"Nome não Cadastrado")</f>
        <v>Nome não Cadastrado</v>
      </c>
      <c r="D121" s="3" t="s">
        <v>7</v>
      </c>
      <c r="E121" s="38"/>
      <c r="F121" s="34"/>
      <c r="G121" s="34" t="s">
        <v>7</v>
      </c>
      <c r="H121" s="35">
        <f>E121</f>
        <v>0</v>
      </c>
      <c r="I121" s="36"/>
    </row>
    <row r="122" spans="1:9" ht="16.5" x14ac:dyDescent="0.25">
      <c r="A122">
        <f t="shared" si="3"/>
        <v>0</v>
      </c>
      <c r="B122" s="7">
        <f>'[1]Envio de CTes'!B122</f>
        <v>0</v>
      </c>
      <c r="C122" s="7" t="str">
        <f>IFERROR(VLOOKUP(B122,E2:F145,2,0),"Nome não Cadastrado")</f>
        <v>Nome não Cadastrado</v>
      </c>
      <c r="D122" s="3" t="s">
        <v>7</v>
      </c>
      <c r="E122" s="38"/>
      <c r="F122" s="34"/>
      <c r="G122" s="34" t="s">
        <v>7</v>
      </c>
      <c r="H122" s="35">
        <f>E122</f>
        <v>0</v>
      </c>
      <c r="I122" s="36"/>
    </row>
    <row r="123" spans="1:9" ht="16.5" x14ac:dyDescent="0.25">
      <c r="A123">
        <f t="shared" si="3"/>
        <v>0</v>
      </c>
      <c r="B123" s="7">
        <f>'[1]Envio de CTes'!B123</f>
        <v>0</v>
      </c>
      <c r="C123" s="7" t="str">
        <f>IFERROR(VLOOKUP(B123,E2:F145,2,0),"Nome não Cadastrado")</f>
        <v>Nome não Cadastrado</v>
      </c>
      <c r="D123" s="3" t="s">
        <v>7</v>
      </c>
      <c r="E123" s="38"/>
      <c r="F123" s="34"/>
      <c r="G123" s="34" t="s">
        <v>7</v>
      </c>
      <c r="H123" s="35">
        <f>E123</f>
        <v>0</v>
      </c>
      <c r="I123" s="36"/>
    </row>
    <row r="124" spans="1:9" ht="16.5" x14ac:dyDescent="0.25">
      <c r="A124">
        <f t="shared" si="3"/>
        <v>0</v>
      </c>
      <c r="B124" s="7">
        <f>'[1]Envio de CTes'!B124</f>
        <v>0</v>
      </c>
      <c r="C124" s="7" t="str">
        <f>IFERROR(VLOOKUP(B124,E2:F145,2,0),"Nome não Cadastrado")</f>
        <v>Nome não Cadastrado</v>
      </c>
      <c r="D124" s="3" t="s">
        <v>7</v>
      </c>
      <c r="E124" s="38"/>
      <c r="F124" s="34"/>
      <c r="G124" s="34" t="s">
        <v>7</v>
      </c>
      <c r="H124" s="35">
        <f>E124</f>
        <v>0</v>
      </c>
      <c r="I124" s="36"/>
    </row>
    <row r="125" spans="1:9" ht="16.5" x14ac:dyDescent="0.25">
      <c r="A125">
        <f t="shared" si="3"/>
        <v>0</v>
      </c>
      <c r="B125" s="7">
        <f>'[1]Envio de CTes'!B125</f>
        <v>0</v>
      </c>
      <c r="C125" s="7" t="str">
        <f>IFERROR(VLOOKUP(B125,E2:F145,2,0),"Nome não Cadastrado")</f>
        <v>Nome não Cadastrado</v>
      </c>
      <c r="D125" s="3" t="s">
        <v>7</v>
      </c>
      <c r="E125" s="38"/>
      <c r="F125" s="34"/>
      <c r="G125" s="34" t="s">
        <v>7</v>
      </c>
      <c r="H125" s="35">
        <f>E125</f>
        <v>0</v>
      </c>
      <c r="I125" s="36"/>
    </row>
    <row r="126" spans="1:9" ht="16.5" x14ac:dyDescent="0.25">
      <c r="A126">
        <f t="shared" si="3"/>
        <v>0</v>
      </c>
      <c r="B126" s="7">
        <f>'[1]Envio de CTes'!B126</f>
        <v>0</v>
      </c>
      <c r="C126" s="7" t="str">
        <f>IFERROR(VLOOKUP(B126,E2:F145,2,0),"Nome não Cadastrado")</f>
        <v>Nome não Cadastrado</v>
      </c>
      <c r="D126" s="3" t="s">
        <v>7</v>
      </c>
      <c r="E126" s="38"/>
      <c r="F126" s="34"/>
      <c r="G126" s="34" t="s">
        <v>7</v>
      </c>
      <c r="H126" s="35">
        <f>E126</f>
        <v>0</v>
      </c>
      <c r="I126" s="36"/>
    </row>
    <row r="127" spans="1:9" ht="16.5" x14ac:dyDescent="0.25">
      <c r="A127">
        <f t="shared" si="3"/>
        <v>0</v>
      </c>
      <c r="B127" s="7">
        <f>'[1]Envio de CTes'!B127</f>
        <v>0</v>
      </c>
      <c r="C127" s="7" t="str">
        <f>IFERROR(VLOOKUP(B127,E2:F145,2,0),"Nome não Cadastrado")</f>
        <v>Nome não Cadastrado</v>
      </c>
      <c r="D127" s="3" t="s">
        <v>7</v>
      </c>
      <c r="E127" s="38"/>
      <c r="F127" s="34"/>
      <c r="G127" s="34" t="s">
        <v>7</v>
      </c>
      <c r="H127" s="35">
        <f>E127</f>
        <v>0</v>
      </c>
      <c r="I127" s="36"/>
    </row>
    <row r="128" spans="1:9" ht="16.5" x14ac:dyDescent="0.25">
      <c r="A128">
        <f t="shared" si="3"/>
        <v>0</v>
      </c>
      <c r="B128" s="7">
        <f>'[1]Envio de CTes'!B128</f>
        <v>0</v>
      </c>
      <c r="C128" s="7" t="str">
        <f>IFERROR(VLOOKUP(B128,E2:F145,2,0),"Nome não Cadastrado")</f>
        <v>Nome não Cadastrado</v>
      </c>
      <c r="D128" s="3" t="s">
        <v>7</v>
      </c>
      <c r="E128" s="38"/>
      <c r="F128" s="34"/>
      <c r="G128" s="34" t="s">
        <v>7</v>
      </c>
      <c r="H128" s="35">
        <f>E128</f>
        <v>0</v>
      </c>
      <c r="I128" s="36"/>
    </row>
    <row r="129" spans="1:9" ht="16.5" x14ac:dyDescent="0.25">
      <c r="A129">
        <f t="shared" si="3"/>
        <v>0</v>
      </c>
      <c r="B129" s="7">
        <f>'[1]Envio de CTes'!B129</f>
        <v>0</v>
      </c>
      <c r="C129" s="7" t="str">
        <f>IFERROR(VLOOKUP(B129,E2:F145,2,0),"Nome não Cadastrado")</f>
        <v>Nome não Cadastrado</v>
      </c>
      <c r="D129" s="3" t="s">
        <v>7</v>
      </c>
      <c r="E129" s="38"/>
      <c r="F129" s="34"/>
      <c r="G129" s="34" t="s">
        <v>7</v>
      </c>
      <c r="H129" s="35">
        <f>E129</f>
        <v>0</v>
      </c>
      <c r="I129" s="36"/>
    </row>
    <row r="130" spans="1:9" ht="16.5" x14ac:dyDescent="0.25">
      <c r="A130">
        <f t="shared" si="3"/>
        <v>0</v>
      </c>
      <c r="B130" s="7">
        <f>'[1]Envio de CTes'!B130</f>
        <v>0</v>
      </c>
      <c r="C130" s="7" t="str">
        <f>IFERROR(VLOOKUP(B130,E2:F145,2,0),"Nome não Cadastrado")</f>
        <v>Nome não Cadastrado</v>
      </c>
      <c r="D130" s="3" t="s">
        <v>7</v>
      </c>
      <c r="E130" s="38"/>
      <c r="F130" s="34"/>
      <c r="G130" s="34" t="s">
        <v>7</v>
      </c>
      <c r="H130" s="35">
        <f>E130</f>
        <v>0</v>
      </c>
      <c r="I130" s="36"/>
    </row>
    <row r="131" spans="1:9" ht="16.5" x14ac:dyDescent="0.25">
      <c r="A131">
        <f t="shared" ref="A131:A155" si="4">IFERROR(VLOOKUP(B131,H130:I280,2,0),"Nome não Cadastrado")</f>
        <v>0</v>
      </c>
      <c r="B131" s="7">
        <f>'[1]Envio de CTes'!B131</f>
        <v>0</v>
      </c>
      <c r="C131" s="7" t="str">
        <f>IFERROR(VLOOKUP(B131,E2:F145,2,0),"Nome não Cadastrado")</f>
        <v>Nome não Cadastrado</v>
      </c>
      <c r="D131" s="3" t="s">
        <v>7</v>
      </c>
      <c r="E131" s="38"/>
      <c r="F131" s="34"/>
      <c r="G131" s="34" t="s">
        <v>7</v>
      </c>
      <c r="H131" s="35">
        <f>E131</f>
        <v>0</v>
      </c>
      <c r="I131" s="36"/>
    </row>
    <row r="132" spans="1:9" ht="16.5" x14ac:dyDescent="0.25">
      <c r="A132">
        <f t="shared" si="4"/>
        <v>0</v>
      </c>
      <c r="B132" s="7">
        <f>'[1]Envio de CTes'!B132</f>
        <v>0</v>
      </c>
      <c r="C132" s="7" t="str">
        <f>IFERROR(VLOOKUP(B132,E2:F145,2,0),"Nome não Cadastrado")</f>
        <v>Nome não Cadastrado</v>
      </c>
      <c r="D132" s="3" t="s">
        <v>7</v>
      </c>
      <c r="E132" s="38"/>
      <c r="F132" s="34"/>
      <c r="G132" s="34" t="s">
        <v>7</v>
      </c>
      <c r="H132" s="35">
        <f>E132</f>
        <v>0</v>
      </c>
      <c r="I132" s="36"/>
    </row>
    <row r="133" spans="1:9" ht="16.5" x14ac:dyDescent="0.25">
      <c r="A133">
        <f t="shared" si="4"/>
        <v>0</v>
      </c>
      <c r="B133" s="7">
        <f>'[1]Envio de CTes'!B133</f>
        <v>0</v>
      </c>
      <c r="C133" s="7" t="str">
        <f>IFERROR(VLOOKUP(B133,E2:F145,2,0),"Nome não Cadastrado")</f>
        <v>Nome não Cadastrado</v>
      </c>
      <c r="D133" s="3" t="s">
        <v>7</v>
      </c>
      <c r="E133" s="38"/>
      <c r="F133" s="34"/>
      <c r="G133" s="34" t="s">
        <v>7</v>
      </c>
      <c r="H133" s="35">
        <f>E133</f>
        <v>0</v>
      </c>
      <c r="I133" s="36"/>
    </row>
    <row r="134" spans="1:9" ht="16.5" x14ac:dyDescent="0.25">
      <c r="A134">
        <f t="shared" si="4"/>
        <v>0</v>
      </c>
      <c r="B134" s="7">
        <f>'[1]Envio de CTes'!B134</f>
        <v>0</v>
      </c>
      <c r="C134" s="7" t="str">
        <f>IFERROR(VLOOKUP(B134,E2:F145,2,0),"Nome não Cadastrado")</f>
        <v>Nome não Cadastrado</v>
      </c>
      <c r="D134" s="3" t="s">
        <v>7</v>
      </c>
      <c r="E134" s="38"/>
      <c r="F134" s="34"/>
      <c r="G134" s="34" t="s">
        <v>7</v>
      </c>
      <c r="H134" s="35">
        <f>E134</f>
        <v>0</v>
      </c>
      <c r="I134" s="36"/>
    </row>
    <row r="135" spans="1:9" ht="16.5" x14ac:dyDescent="0.25">
      <c r="A135">
        <f t="shared" si="4"/>
        <v>0</v>
      </c>
      <c r="B135" s="7">
        <f>'[1]Envio de CTes'!B135</f>
        <v>0</v>
      </c>
      <c r="C135" s="7" t="str">
        <f>IFERROR(VLOOKUP(B135,E2:F145,2,0),"Nome não Cadastrado")</f>
        <v>Nome não Cadastrado</v>
      </c>
      <c r="D135" s="3" t="s">
        <v>7</v>
      </c>
      <c r="E135" s="38"/>
      <c r="F135" s="34"/>
      <c r="G135" s="34" t="s">
        <v>7</v>
      </c>
      <c r="H135" s="35">
        <f>E135</f>
        <v>0</v>
      </c>
      <c r="I135" s="36"/>
    </row>
    <row r="136" spans="1:9" ht="16.5" x14ac:dyDescent="0.25">
      <c r="A136">
        <f t="shared" si="4"/>
        <v>0</v>
      </c>
      <c r="B136" s="7">
        <f>'[1]Envio de CTes'!B136</f>
        <v>0</v>
      </c>
      <c r="C136" s="7" t="str">
        <f>IFERROR(VLOOKUP(B136,E2:F145,2,0),"Nome não Cadastrado")</f>
        <v>Nome não Cadastrado</v>
      </c>
      <c r="D136" s="3" t="s">
        <v>7</v>
      </c>
      <c r="E136" s="38"/>
      <c r="F136" s="34"/>
      <c r="G136" s="34" t="s">
        <v>7</v>
      </c>
      <c r="H136" s="35">
        <f>E136</f>
        <v>0</v>
      </c>
      <c r="I136" s="36"/>
    </row>
    <row r="137" spans="1:9" ht="16.5" x14ac:dyDescent="0.25">
      <c r="A137">
        <f t="shared" si="4"/>
        <v>0</v>
      </c>
      <c r="B137" s="7">
        <f>'[1]Envio de CTes'!B137</f>
        <v>0</v>
      </c>
      <c r="C137" s="7" t="str">
        <f>IFERROR(VLOOKUP(B137,E2:F145,2,0),"Nome não Cadastrado")</f>
        <v>Nome não Cadastrado</v>
      </c>
      <c r="D137" s="3" t="s">
        <v>7</v>
      </c>
      <c r="E137" s="38"/>
      <c r="F137" s="34"/>
      <c r="G137" s="34" t="s">
        <v>7</v>
      </c>
      <c r="H137" s="35">
        <f>E137</f>
        <v>0</v>
      </c>
      <c r="I137" s="36"/>
    </row>
    <row r="138" spans="1:9" ht="16.5" x14ac:dyDescent="0.25">
      <c r="A138">
        <f t="shared" si="4"/>
        <v>0</v>
      </c>
      <c r="B138" s="7">
        <f>'[1]Envio de CTes'!B138</f>
        <v>0</v>
      </c>
      <c r="C138" s="7" t="str">
        <f>IFERROR(VLOOKUP(B138,E2:F145,2,0),"Nome não Cadastrado")</f>
        <v>Nome não Cadastrado</v>
      </c>
      <c r="D138" s="3" t="s">
        <v>7</v>
      </c>
      <c r="E138" s="38"/>
      <c r="F138" s="34"/>
      <c r="G138" s="34" t="s">
        <v>7</v>
      </c>
      <c r="H138" s="35">
        <f>E138</f>
        <v>0</v>
      </c>
      <c r="I138" s="36"/>
    </row>
    <row r="139" spans="1:9" ht="16.5" x14ac:dyDescent="0.25">
      <c r="A139">
        <f t="shared" si="4"/>
        <v>0</v>
      </c>
      <c r="B139" s="7">
        <f>'[1]Envio de CTes'!B139</f>
        <v>0</v>
      </c>
      <c r="C139" s="7" t="str">
        <f>IFERROR(VLOOKUP(B139,E2:F145,2,0),"Nome não Cadastrado")</f>
        <v>Nome não Cadastrado</v>
      </c>
      <c r="D139" s="3" t="s">
        <v>7</v>
      </c>
      <c r="E139" s="38"/>
      <c r="F139" s="34"/>
      <c r="G139" s="34" t="s">
        <v>7</v>
      </c>
      <c r="H139" s="35">
        <f>E139</f>
        <v>0</v>
      </c>
      <c r="I139" s="36"/>
    </row>
    <row r="140" spans="1:9" ht="16.5" x14ac:dyDescent="0.25">
      <c r="A140">
        <f t="shared" si="4"/>
        <v>0</v>
      </c>
      <c r="B140" s="7">
        <f>'[1]Envio de CTes'!B140</f>
        <v>0</v>
      </c>
      <c r="C140" s="7" t="str">
        <f>IFERROR(VLOOKUP(B140,E2:F145,2,0),"Nome não Cadastrado")</f>
        <v>Nome não Cadastrado</v>
      </c>
      <c r="D140" s="3" t="s">
        <v>7</v>
      </c>
      <c r="E140" s="38"/>
      <c r="F140" s="34"/>
      <c r="G140" s="34" t="s">
        <v>7</v>
      </c>
      <c r="H140" s="35">
        <f>E140</f>
        <v>0</v>
      </c>
      <c r="I140" s="36"/>
    </row>
    <row r="141" spans="1:9" ht="16.5" x14ac:dyDescent="0.25">
      <c r="A141">
        <f t="shared" si="4"/>
        <v>0</v>
      </c>
      <c r="B141" s="7">
        <f>'[1]Envio de CTes'!B141</f>
        <v>0</v>
      </c>
      <c r="C141" s="7" t="str">
        <f>IFERROR(VLOOKUP(B141,E2:F145,2,0),"Nome não Cadastrado")</f>
        <v>Nome não Cadastrado</v>
      </c>
      <c r="D141" s="3" t="s">
        <v>7</v>
      </c>
      <c r="E141" s="38"/>
      <c r="F141" s="34"/>
      <c r="G141" s="34" t="s">
        <v>7</v>
      </c>
      <c r="H141" s="35">
        <f>E141</f>
        <v>0</v>
      </c>
      <c r="I141" s="36"/>
    </row>
    <row r="142" spans="1:9" ht="16.5" x14ac:dyDescent="0.25">
      <c r="A142">
        <f t="shared" si="4"/>
        <v>0</v>
      </c>
      <c r="B142" s="7">
        <f>'[1]Envio de CTes'!B142</f>
        <v>0</v>
      </c>
      <c r="C142" s="7" t="str">
        <f>IFERROR(VLOOKUP(B142,E2:F146,2,0),"Nome não Cadastrado")</f>
        <v>Nome não Cadastrado</v>
      </c>
      <c r="D142" s="3" t="s">
        <v>7</v>
      </c>
      <c r="E142" s="38"/>
      <c r="F142" s="34"/>
      <c r="G142" s="34" t="s">
        <v>7</v>
      </c>
      <c r="H142" s="35">
        <f>E142</f>
        <v>0</v>
      </c>
      <c r="I142" s="36"/>
    </row>
    <row r="143" spans="1:9" ht="16.5" x14ac:dyDescent="0.25">
      <c r="A143">
        <f t="shared" si="4"/>
        <v>0</v>
      </c>
      <c r="B143" s="7">
        <f>'[1]Envio de CTes'!B143</f>
        <v>0</v>
      </c>
      <c r="C143" s="7" t="str">
        <f>IFERROR(VLOOKUP(B143,E2:F147,2,0),"Nome não Cadastrado")</f>
        <v>Nome não Cadastrado</v>
      </c>
      <c r="D143" s="3" t="s">
        <v>7</v>
      </c>
      <c r="E143" s="38"/>
      <c r="F143" s="34"/>
      <c r="G143" s="34" t="s">
        <v>7</v>
      </c>
      <c r="H143" s="35">
        <f>E143</f>
        <v>0</v>
      </c>
      <c r="I143" s="36"/>
    </row>
    <row r="144" spans="1:9" ht="16.5" x14ac:dyDescent="0.25">
      <c r="A144">
        <f t="shared" si="4"/>
        <v>0</v>
      </c>
      <c r="B144" s="7">
        <f>'[1]Envio de CTes'!B144</f>
        <v>0</v>
      </c>
      <c r="C144" s="7" t="str">
        <f>IFERROR(VLOOKUP(B144,E5:F148,2,0),"Nome não Cadastrado")</f>
        <v>Nome não Cadastrado</v>
      </c>
      <c r="D144" s="3" t="s">
        <v>7</v>
      </c>
      <c r="E144" s="38"/>
      <c r="F144" s="34"/>
      <c r="G144" s="34" t="s">
        <v>7</v>
      </c>
      <c r="H144" s="35">
        <f>E144</f>
        <v>0</v>
      </c>
      <c r="I144" s="36"/>
    </row>
    <row r="145" spans="1:9" ht="16.5" x14ac:dyDescent="0.25">
      <c r="A145">
        <f t="shared" si="4"/>
        <v>0</v>
      </c>
      <c r="B145" s="7">
        <f>'[1]Envio de CTes'!B145</f>
        <v>0</v>
      </c>
      <c r="C145" s="7" t="str">
        <f>IFERROR(VLOOKUP(B145,E2:F149,2,0),"Nome não Cadastrado")</f>
        <v>Nome não Cadastrado</v>
      </c>
      <c r="D145" s="3" t="s">
        <v>7</v>
      </c>
      <c r="E145" s="38"/>
      <c r="F145" s="34"/>
      <c r="G145" s="34" t="s">
        <v>7</v>
      </c>
      <c r="H145" s="35">
        <f>E145</f>
        <v>0</v>
      </c>
      <c r="I145" s="36"/>
    </row>
    <row r="146" spans="1:9" ht="16.5" x14ac:dyDescent="0.25">
      <c r="A146">
        <f t="shared" si="4"/>
        <v>0</v>
      </c>
      <c r="B146" s="7">
        <f>'[1]Envio de CTes'!B146</f>
        <v>0</v>
      </c>
      <c r="C146" s="7" t="str">
        <f>IFERROR(VLOOKUP(B146,E7:F150,2,0),"Nome não Cadastrado")</f>
        <v>Nome não Cadastrado</v>
      </c>
      <c r="D146" s="3" t="s">
        <v>7</v>
      </c>
      <c r="E146" s="38"/>
      <c r="F146" s="34"/>
      <c r="G146" s="34" t="s">
        <v>7</v>
      </c>
      <c r="H146" s="35">
        <f>E146</f>
        <v>0</v>
      </c>
      <c r="I146" s="36"/>
    </row>
    <row r="147" spans="1:9" ht="16.5" x14ac:dyDescent="0.25">
      <c r="A147">
        <f t="shared" si="4"/>
        <v>0</v>
      </c>
      <c r="B147" s="7">
        <f>'[1]Envio de CTes'!B147</f>
        <v>0</v>
      </c>
      <c r="C147" s="7" t="str">
        <f>IFERROR(VLOOKUP(B147,E2:F151,2,0),"Nome não Cadastrado")</f>
        <v>Nome não Cadastrado</v>
      </c>
      <c r="D147" s="3" t="s">
        <v>7</v>
      </c>
      <c r="E147" s="38"/>
      <c r="F147" s="34"/>
      <c r="G147" s="34" t="s">
        <v>7</v>
      </c>
      <c r="H147" s="35">
        <f>E147</f>
        <v>0</v>
      </c>
      <c r="I147" s="36"/>
    </row>
    <row r="148" spans="1:9" ht="16.5" x14ac:dyDescent="0.25">
      <c r="A148">
        <f t="shared" si="4"/>
        <v>0</v>
      </c>
      <c r="D148" s="3" t="s">
        <v>7</v>
      </c>
      <c r="E148" s="38"/>
      <c r="F148" s="34"/>
      <c r="G148" s="34" t="s">
        <v>7</v>
      </c>
      <c r="H148" s="35">
        <f>E148</f>
        <v>0</v>
      </c>
      <c r="I148" s="36"/>
    </row>
    <row r="149" spans="1:9" ht="16.5" x14ac:dyDescent="0.25">
      <c r="A149">
        <f t="shared" si="4"/>
        <v>0</v>
      </c>
      <c r="D149" s="3" t="s">
        <v>7</v>
      </c>
      <c r="E149" s="38"/>
      <c r="F149" s="34"/>
      <c r="G149" s="34" t="s">
        <v>7</v>
      </c>
      <c r="H149" s="35">
        <f>E149</f>
        <v>0</v>
      </c>
      <c r="I149" s="36"/>
    </row>
    <row r="150" spans="1:9" ht="16.5" x14ac:dyDescent="0.25">
      <c r="A150">
        <f t="shared" si="4"/>
        <v>0</v>
      </c>
      <c r="D150" s="3" t="s">
        <v>7</v>
      </c>
      <c r="E150" s="38"/>
      <c r="F150" s="34"/>
      <c r="G150" s="34" t="s">
        <v>7</v>
      </c>
      <c r="H150" s="35">
        <f>E150</f>
        <v>0</v>
      </c>
      <c r="I150" s="36"/>
    </row>
    <row r="151" spans="1:9" ht="16.5" x14ac:dyDescent="0.25">
      <c r="A151">
        <f t="shared" si="4"/>
        <v>0</v>
      </c>
      <c r="D151" s="3" t="s">
        <v>7</v>
      </c>
      <c r="E151" s="38"/>
      <c r="F151" s="34"/>
      <c r="G151" s="34" t="s">
        <v>7</v>
      </c>
      <c r="H151" s="35">
        <f>E151</f>
        <v>0</v>
      </c>
      <c r="I151" s="36"/>
    </row>
    <row r="152" spans="1:9" x14ac:dyDescent="0.25">
      <c r="A152">
        <f t="shared" si="4"/>
        <v>0</v>
      </c>
      <c r="E152" s="38"/>
      <c r="F152" s="34"/>
      <c r="G152" s="34" t="s">
        <v>7</v>
      </c>
      <c r="H152" s="34"/>
      <c r="I152" s="36"/>
    </row>
    <row r="153" spans="1:9" x14ac:dyDescent="0.25">
      <c r="A153" t="str">
        <f t="shared" si="4"/>
        <v>Nome não Cadastrado</v>
      </c>
      <c r="E153" s="38"/>
      <c r="F153" s="34"/>
      <c r="G153" s="34" t="s">
        <v>7</v>
      </c>
      <c r="H153" s="34"/>
      <c r="I153" s="36"/>
    </row>
    <row r="154" spans="1:9" x14ac:dyDescent="0.25">
      <c r="A154" t="str">
        <f t="shared" si="4"/>
        <v>Nome não Cadastrado</v>
      </c>
      <c r="E154" s="38"/>
      <c r="F154" s="34"/>
      <c r="G154" s="34" t="s">
        <v>7</v>
      </c>
      <c r="H154" s="34"/>
      <c r="I154" s="36"/>
    </row>
    <row r="155" spans="1:9" x14ac:dyDescent="0.25">
      <c r="A155" t="str">
        <f t="shared" si="4"/>
        <v>Nome não Cadastrado</v>
      </c>
      <c r="E155" s="38"/>
      <c r="F155" s="34"/>
      <c r="G155" s="34" t="s">
        <v>7</v>
      </c>
      <c r="H155" s="34"/>
      <c r="I155" s="36"/>
    </row>
    <row r="156" spans="1:9" x14ac:dyDescent="0.25">
      <c r="E156" s="38"/>
      <c r="F156" s="34"/>
      <c r="G156" s="34" t="s">
        <v>7</v>
      </c>
      <c r="H156" s="34"/>
      <c r="I156" s="36"/>
    </row>
    <row r="157" spans="1:9" x14ac:dyDescent="0.25">
      <c r="E157" s="38"/>
      <c r="F157" s="34"/>
      <c r="G157" s="34" t="s">
        <v>7</v>
      </c>
      <c r="H157" s="34"/>
      <c r="I157" s="36"/>
    </row>
    <row r="158" spans="1:9" x14ac:dyDescent="0.25">
      <c r="E158" s="38"/>
      <c r="F158" s="34"/>
      <c r="G158" s="34" t="s">
        <v>7</v>
      </c>
      <c r="H158" s="34"/>
      <c r="I158" s="36"/>
    </row>
    <row r="159" spans="1:9" x14ac:dyDescent="0.25">
      <c r="E159" s="38"/>
      <c r="F159" s="34"/>
      <c r="G159" s="34" t="s">
        <v>7</v>
      </c>
      <c r="H159" s="34"/>
      <c r="I159" s="36"/>
    </row>
    <row r="160" spans="1:9" x14ac:dyDescent="0.25">
      <c r="E160" s="38"/>
      <c r="F160" s="34"/>
      <c r="G160" s="34" t="s">
        <v>7</v>
      </c>
      <c r="H160" s="34"/>
      <c r="I160" s="36"/>
    </row>
    <row r="161" spans="5:9" x14ac:dyDescent="0.25">
      <c r="E161" s="38"/>
      <c r="F161" s="34"/>
      <c r="G161" s="34" t="s">
        <v>7</v>
      </c>
      <c r="H161" s="34"/>
      <c r="I161" s="36"/>
    </row>
    <row r="162" spans="5:9" x14ac:dyDescent="0.25">
      <c r="E162" s="38"/>
      <c r="F162" s="34"/>
      <c r="G162" s="34" t="s">
        <v>7</v>
      </c>
      <c r="H162" s="34"/>
      <c r="I162" s="36"/>
    </row>
    <row r="163" spans="5:9" x14ac:dyDescent="0.25">
      <c r="E163" s="38"/>
      <c r="F163" s="34"/>
      <c r="G163" s="34" t="s">
        <v>7</v>
      </c>
      <c r="H163" s="34"/>
      <c r="I163" s="36"/>
    </row>
    <row r="164" spans="5:9" x14ac:dyDescent="0.25">
      <c r="E164" s="38"/>
      <c r="F164" s="34"/>
      <c r="G164" s="34" t="s">
        <v>7</v>
      </c>
      <c r="H164" s="34"/>
      <c r="I164" s="36"/>
    </row>
    <row r="165" spans="5:9" x14ac:dyDescent="0.25">
      <c r="E165" s="38"/>
      <c r="F165" s="34"/>
      <c r="G165" s="34" t="s">
        <v>7</v>
      </c>
      <c r="H165" s="34"/>
      <c r="I165" s="36"/>
    </row>
    <row r="166" spans="5:9" x14ac:dyDescent="0.25">
      <c r="E166" s="38"/>
      <c r="F166" s="34"/>
      <c r="G166" s="34" t="s">
        <v>7</v>
      </c>
      <c r="H166" s="34"/>
      <c r="I166" s="36"/>
    </row>
    <row r="167" spans="5:9" x14ac:dyDescent="0.25">
      <c r="E167" s="38"/>
      <c r="F167" s="34"/>
      <c r="G167" s="34" t="s">
        <v>7</v>
      </c>
      <c r="H167" s="34"/>
      <c r="I167" s="36"/>
    </row>
    <row r="168" spans="5:9" x14ac:dyDescent="0.25">
      <c r="E168" s="38"/>
      <c r="F168" s="34"/>
      <c r="G168" s="34" t="s">
        <v>7</v>
      </c>
      <c r="H168" s="34"/>
      <c r="I168" s="36"/>
    </row>
    <row r="169" spans="5:9" x14ac:dyDescent="0.25">
      <c r="E169" s="38"/>
      <c r="F169" s="34"/>
      <c r="G169" s="34" t="s">
        <v>7</v>
      </c>
      <c r="H169" s="34"/>
      <c r="I169" s="36"/>
    </row>
    <row r="170" spans="5:9" x14ac:dyDescent="0.25">
      <c r="E170" s="38"/>
      <c r="F170" s="34"/>
      <c r="G170" s="34" t="s">
        <v>7</v>
      </c>
      <c r="H170" s="34"/>
      <c r="I170" s="36"/>
    </row>
    <row r="171" spans="5:9" x14ac:dyDescent="0.25">
      <c r="E171" s="38"/>
      <c r="F171" s="34"/>
      <c r="G171" s="34" t="s">
        <v>7</v>
      </c>
      <c r="H171" s="34"/>
      <c r="I171" s="36"/>
    </row>
    <row r="172" spans="5:9" x14ac:dyDescent="0.25">
      <c r="E172" s="38"/>
      <c r="F172" s="34"/>
      <c r="G172" s="34" t="s">
        <v>7</v>
      </c>
      <c r="H172" s="34"/>
      <c r="I172" s="36"/>
    </row>
    <row r="173" spans="5:9" x14ac:dyDescent="0.25">
      <c r="E173" s="38"/>
      <c r="F173" s="34"/>
      <c r="G173" s="34" t="s">
        <v>7</v>
      </c>
      <c r="H173" s="34"/>
      <c r="I173" s="36"/>
    </row>
    <row r="174" spans="5:9" x14ac:dyDescent="0.25">
      <c r="E174" s="38"/>
      <c r="F174" s="34"/>
      <c r="G174" s="34" t="s">
        <v>7</v>
      </c>
      <c r="H174" s="34"/>
      <c r="I174" s="36"/>
    </row>
    <row r="175" spans="5:9" x14ac:dyDescent="0.25">
      <c r="E175" s="38"/>
      <c r="F175" s="34"/>
      <c r="G175" s="34" t="s">
        <v>7</v>
      </c>
      <c r="H175" s="34"/>
      <c r="I175" s="36"/>
    </row>
    <row r="176" spans="5:9" x14ac:dyDescent="0.25">
      <c r="E176" s="38"/>
      <c r="F176" s="34"/>
      <c r="G176" s="34" t="s">
        <v>7</v>
      </c>
      <c r="H176" s="34"/>
      <c r="I176" s="36"/>
    </row>
    <row r="177" spans="5:9" x14ac:dyDescent="0.25">
      <c r="E177" s="38"/>
      <c r="F177" s="34"/>
      <c r="G177" s="34" t="s">
        <v>7</v>
      </c>
      <c r="H177" s="34"/>
      <c r="I177" s="36"/>
    </row>
    <row r="178" spans="5:9" x14ac:dyDescent="0.25">
      <c r="E178" s="38"/>
      <c r="F178" s="34"/>
      <c r="G178" s="34" t="s">
        <v>7</v>
      </c>
      <c r="H178" s="34"/>
      <c r="I178" s="36"/>
    </row>
    <row r="179" spans="5:9" x14ac:dyDescent="0.25">
      <c r="E179" s="38"/>
      <c r="F179" s="34"/>
      <c r="G179" s="34" t="s">
        <v>7</v>
      </c>
      <c r="H179" s="34"/>
      <c r="I179" s="36"/>
    </row>
    <row r="180" spans="5:9" x14ac:dyDescent="0.25">
      <c r="E180" s="38"/>
      <c r="F180" s="34"/>
      <c r="G180" s="34" t="s">
        <v>7</v>
      </c>
      <c r="H180" s="34"/>
      <c r="I180" s="36"/>
    </row>
    <row r="181" spans="5:9" x14ac:dyDescent="0.25">
      <c r="E181" s="38"/>
      <c r="F181" s="34"/>
      <c r="G181" s="34" t="s">
        <v>7</v>
      </c>
      <c r="H181" s="34"/>
      <c r="I181" s="36"/>
    </row>
    <row r="182" spans="5:9" x14ac:dyDescent="0.25">
      <c r="E182" s="38"/>
      <c r="F182" s="34"/>
      <c r="G182" s="34" t="s">
        <v>7</v>
      </c>
      <c r="H182" s="34"/>
      <c r="I182" s="36"/>
    </row>
    <row r="183" spans="5:9" x14ac:dyDescent="0.25">
      <c r="E183" s="38"/>
      <c r="F183" s="34"/>
      <c r="G183" s="34" t="s">
        <v>7</v>
      </c>
      <c r="H183" s="34"/>
      <c r="I183" s="36"/>
    </row>
    <row r="184" spans="5:9" x14ac:dyDescent="0.25">
      <c r="E184" s="38"/>
      <c r="F184" s="34"/>
      <c r="G184" s="34" t="s">
        <v>7</v>
      </c>
      <c r="H184" s="34"/>
      <c r="I184" s="36"/>
    </row>
    <row r="185" spans="5:9" x14ac:dyDescent="0.25">
      <c r="E185" s="38"/>
      <c r="F185" s="34"/>
      <c r="G185" s="34" t="s">
        <v>7</v>
      </c>
      <c r="H185" s="34"/>
      <c r="I185" s="36"/>
    </row>
    <row r="186" spans="5:9" x14ac:dyDescent="0.25">
      <c r="E186" s="38"/>
      <c r="F186" s="34"/>
      <c r="G186" s="34" t="s">
        <v>7</v>
      </c>
      <c r="H186" s="34"/>
      <c r="I186" s="36"/>
    </row>
    <row r="187" spans="5:9" x14ac:dyDescent="0.25">
      <c r="E187" s="38"/>
      <c r="F187" s="34"/>
      <c r="G187" s="34" t="s">
        <v>7</v>
      </c>
      <c r="H187" s="34"/>
      <c r="I187" s="36"/>
    </row>
    <row r="188" spans="5:9" x14ac:dyDescent="0.25">
      <c r="E188" s="38"/>
      <c r="F188" s="34"/>
      <c r="G188" s="34" t="s">
        <v>7</v>
      </c>
      <c r="H188" s="34"/>
      <c r="I188" s="36"/>
    </row>
    <row r="189" spans="5:9" x14ac:dyDescent="0.25">
      <c r="E189" s="38"/>
      <c r="F189" s="34"/>
      <c r="G189" s="34" t="s">
        <v>7</v>
      </c>
      <c r="H189" s="34"/>
      <c r="I189" s="36"/>
    </row>
    <row r="190" spans="5:9" x14ac:dyDescent="0.25">
      <c r="E190" s="38"/>
      <c r="F190" s="34"/>
      <c r="G190" s="34" t="s">
        <v>7</v>
      </c>
      <c r="H190" s="34"/>
      <c r="I190" s="36"/>
    </row>
    <row r="191" spans="5:9" x14ac:dyDescent="0.25">
      <c r="E191" s="38"/>
      <c r="F191" s="34"/>
      <c r="G191" s="34" t="s">
        <v>7</v>
      </c>
      <c r="H191" s="34"/>
      <c r="I191" s="36"/>
    </row>
    <row r="192" spans="5:9" x14ac:dyDescent="0.25">
      <c r="E192" s="38"/>
      <c r="F192" s="34"/>
      <c r="G192" s="34" t="s">
        <v>7</v>
      </c>
      <c r="H192" s="34"/>
      <c r="I192" s="36"/>
    </row>
    <row r="193" spans="5:9" x14ac:dyDescent="0.25">
      <c r="E193" s="38"/>
      <c r="F193" s="34"/>
      <c r="G193" s="34" t="s">
        <v>7</v>
      </c>
      <c r="H193" s="34"/>
      <c r="I193" s="36"/>
    </row>
    <row r="194" spans="5:9" x14ac:dyDescent="0.25">
      <c r="E194" s="38"/>
      <c r="F194" s="34"/>
      <c r="G194" s="34" t="s">
        <v>7</v>
      </c>
      <c r="H194" s="34"/>
      <c r="I194" s="36"/>
    </row>
    <row r="195" spans="5:9" x14ac:dyDescent="0.25">
      <c r="E195" s="38"/>
      <c r="F195" s="34"/>
      <c r="G195" s="34" t="s">
        <v>7</v>
      </c>
      <c r="H195" s="34"/>
      <c r="I195" s="36"/>
    </row>
    <row r="196" spans="5:9" x14ac:dyDescent="0.25">
      <c r="E196" s="38"/>
      <c r="F196" s="34"/>
      <c r="G196" s="34" t="s">
        <v>7</v>
      </c>
      <c r="H196" s="34"/>
      <c r="I196" s="36"/>
    </row>
    <row r="197" spans="5:9" x14ac:dyDescent="0.25">
      <c r="E197" s="38"/>
      <c r="F197" s="34"/>
      <c r="G197" s="34" t="s">
        <v>7</v>
      </c>
      <c r="H197" s="34"/>
      <c r="I197" s="36"/>
    </row>
    <row r="198" spans="5:9" x14ac:dyDescent="0.25">
      <c r="E198" s="38"/>
      <c r="F198" s="34"/>
      <c r="G198" s="34" t="s">
        <v>7</v>
      </c>
      <c r="H198" s="34"/>
      <c r="I198" s="36"/>
    </row>
    <row r="199" spans="5:9" x14ac:dyDescent="0.25">
      <c r="E199" s="38"/>
      <c r="F199" s="34"/>
      <c r="G199" s="34" t="s">
        <v>7</v>
      </c>
      <c r="H199" s="34"/>
      <c r="I199" s="36"/>
    </row>
    <row r="200" spans="5:9" x14ac:dyDescent="0.25">
      <c r="E200" s="38"/>
      <c r="F200" s="34"/>
      <c r="G200" s="34" t="s">
        <v>7</v>
      </c>
      <c r="H200" s="34"/>
      <c r="I200" s="36"/>
    </row>
    <row r="201" spans="5:9" x14ac:dyDescent="0.25">
      <c r="E201" s="38"/>
      <c r="F201" s="34"/>
      <c r="G201" s="34" t="s">
        <v>7</v>
      </c>
      <c r="H201" s="34"/>
      <c r="I201" s="36"/>
    </row>
    <row r="202" spans="5:9" x14ac:dyDescent="0.25">
      <c r="E202" s="38"/>
      <c r="F202" s="34"/>
      <c r="G202" s="34" t="s">
        <v>7</v>
      </c>
      <c r="H202" s="34"/>
      <c r="I202" s="36"/>
    </row>
    <row r="203" spans="5:9" x14ac:dyDescent="0.25">
      <c r="E203" s="38"/>
      <c r="F203" s="34"/>
      <c r="G203" s="34" t="s">
        <v>7</v>
      </c>
      <c r="H203" s="34"/>
      <c r="I203" s="36"/>
    </row>
    <row r="204" spans="5:9" x14ac:dyDescent="0.25">
      <c r="E204" s="38"/>
      <c r="F204" s="34"/>
      <c r="G204" s="34" t="s">
        <v>7</v>
      </c>
      <c r="H204" s="34"/>
      <c r="I204" s="36"/>
    </row>
    <row r="205" spans="5:9" x14ac:dyDescent="0.25">
      <c r="E205" s="38"/>
      <c r="F205" s="34"/>
      <c r="G205" s="34" t="s">
        <v>7</v>
      </c>
      <c r="H205" s="34"/>
      <c r="I205" s="36"/>
    </row>
    <row r="206" spans="5:9" x14ac:dyDescent="0.25">
      <c r="E206" s="38"/>
      <c r="F206" s="34"/>
      <c r="G206" s="34" t="s">
        <v>7</v>
      </c>
      <c r="H206" s="34"/>
      <c r="I206" s="36"/>
    </row>
    <row r="207" spans="5:9" x14ac:dyDescent="0.25">
      <c r="E207" s="38"/>
      <c r="F207" s="34"/>
      <c r="G207" s="34" t="s">
        <v>7</v>
      </c>
      <c r="H207" s="34"/>
      <c r="I207" s="36"/>
    </row>
    <row r="208" spans="5:9" x14ac:dyDescent="0.25">
      <c r="E208" s="38"/>
      <c r="F208" s="34"/>
      <c r="G208" s="34" t="s">
        <v>7</v>
      </c>
      <c r="H208" s="34"/>
      <c r="I208" s="36"/>
    </row>
    <row r="209" spans="5:9" x14ac:dyDescent="0.25">
      <c r="E209" s="38"/>
      <c r="F209" s="34"/>
      <c r="G209" s="34" t="s">
        <v>7</v>
      </c>
      <c r="H209" s="34"/>
      <c r="I209" s="36"/>
    </row>
    <row r="210" spans="5:9" x14ac:dyDescent="0.25">
      <c r="E210" s="38"/>
      <c r="F210" s="34"/>
      <c r="G210" s="34" t="s">
        <v>7</v>
      </c>
      <c r="H210" s="34"/>
      <c r="I210" s="36"/>
    </row>
    <row r="211" spans="5:9" x14ac:dyDescent="0.25">
      <c r="E211" s="38"/>
      <c r="F211" s="34"/>
      <c r="G211" s="34" t="s">
        <v>7</v>
      </c>
      <c r="H211" s="34"/>
      <c r="I211" s="36"/>
    </row>
    <row r="212" spans="5:9" x14ac:dyDescent="0.25">
      <c r="E212" s="38"/>
      <c r="F212" s="34"/>
      <c r="G212" s="34" t="s">
        <v>7</v>
      </c>
      <c r="H212" s="34"/>
      <c r="I212" s="36"/>
    </row>
    <row r="213" spans="5:9" x14ac:dyDescent="0.25">
      <c r="E213" s="38"/>
      <c r="F213" s="34"/>
      <c r="G213" s="34" t="s">
        <v>7</v>
      </c>
      <c r="H213" s="34"/>
      <c r="I213" s="36"/>
    </row>
    <row r="214" spans="5:9" x14ac:dyDescent="0.25">
      <c r="E214" s="38"/>
      <c r="F214" s="34"/>
      <c r="G214" s="34" t="s">
        <v>7</v>
      </c>
      <c r="H214" s="34"/>
      <c r="I214" s="36"/>
    </row>
    <row r="215" spans="5:9" x14ac:dyDescent="0.25">
      <c r="E215" s="38"/>
      <c r="F215" s="34"/>
      <c r="G215" s="34" t="s">
        <v>7</v>
      </c>
      <c r="H215" s="34"/>
      <c r="I215" s="36"/>
    </row>
    <row r="216" spans="5:9" x14ac:dyDescent="0.25">
      <c r="E216" s="38"/>
      <c r="F216" s="34"/>
      <c r="G216" s="34" t="s">
        <v>7</v>
      </c>
      <c r="H216" s="34"/>
      <c r="I216" s="36"/>
    </row>
    <row r="217" spans="5:9" x14ac:dyDescent="0.25">
      <c r="E217" s="38"/>
      <c r="F217" s="34"/>
      <c r="G217" s="34" t="s">
        <v>7</v>
      </c>
      <c r="H217" s="34"/>
      <c r="I217" s="36"/>
    </row>
    <row r="218" spans="5:9" x14ac:dyDescent="0.25">
      <c r="E218" s="38"/>
      <c r="F218" s="34"/>
      <c r="G218" s="34" t="s">
        <v>7</v>
      </c>
      <c r="H218" s="34"/>
      <c r="I218" s="36"/>
    </row>
    <row r="219" spans="5:9" x14ac:dyDescent="0.25">
      <c r="E219" s="38"/>
      <c r="F219" s="34"/>
      <c r="G219" s="34" t="s">
        <v>7</v>
      </c>
      <c r="H219" s="34"/>
      <c r="I219" s="36"/>
    </row>
    <row r="220" spans="5:9" x14ac:dyDescent="0.25">
      <c r="E220" s="38"/>
      <c r="F220" s="34"/>
      <c r="G220" s="34" t="s">
        <v>7</v>
      </c>
      <c r="H220" s="34"/>
      <c r="I220" s="36"/>
    </row>
    <row r="221" spans="5:9" x14ac:dyDescent="0.25">
      <c r="E221" s="38"/>
      <c r="F221" s="34"/>
      <c r="G221" s="34" t="s">
        <v>7</v>
      </c>
      <c r="H221" s="34"/>
      <c r="I221" s="36"/>
    </row>
    <row r="222" spans="5:9" x14ac:dyDescent="0.25">
      <c r="E222" s="38"/>
      <c r="F222" s="34"/>
      <c r="G222" s="34" t="s">
        <v>7</v>
      </c>
      <c r="H222" s="34"/>
      <c r="I222" s="36"/>
    </row>
    <row r="223" spans="5:9" x14ac:dyDescent="0.25">
      <c r="E223" s="38"/>
      <c r="F223" s="34"/>
      <c r="G223" s="34" t="s">
        <v>7</v>
      </c>
      <c r="H223" s="34"/>
      <c r="I223" s="36"/>
    </row>
    <row r="224" spans="5:9" x14ac:dyDescent="0.25">
      <c r="E224" s="38"/>
      <c r="F224" s="34"/>
      <c r="G224" s="34" t="s">
        <v>7</v>
      </c>
      <c r="H224" s="34"/>
      <c r="I224" s="36"/>
    </row>
    <row r="225" spans="5:9" x14ac:dyDescent="0.25">
      <c r="E225" s="38"/>
      <c r="F225" s="34"/>
      <c r="G225" s="34" t="s">
        <v>7</v>
      </c>
      <c r="H225" s="34"/>
      <c r="I225" s="36"/>
    </row>
    <row r="226" spans="5:9" x14ac:dyDescent="0.25">
      <c r="E226" s="38"/>
      <c r="F226" s="34"/>
      <c r="G226" s="34" t="s">
        <v>7</v>
      </c>
      <c r="H226" s="34"/>
      <c r="I226" s="36"/>
    </row>
    <row r="227" spans="5:9" x14ac:dyDescent="0.25">
      <c r="E227" s="38"/>
      <c r="F227" s="34"/>
      <c r="G227" s="34" t="s">
        <v>7</v>
      </c>
      <c r="H227" s="34"/>
      <c r="I227" s="36"/>
    </row>
    <row r="228" spans="5:9" x14ac:dyDescent="0.25">
      <c r="E228" s="38"/>
      <c r="F228" s="34"/>
      <c r="G228" s="34" t="s">
        <v>7</v>
      </c>
      <c r="H228" s="34"/>
      <c r="I228" s="36"/>
    </row>
    <row r="229" spans="5:9" x14ac:dyDescent="0.25">
      <c r="E229" s="38"/>
      <c r="F229" s="34"/>
      <c r="G229" s="34" t="s">
        <v>7</v>
      </c>
      <c r="H229" s="34"/>
      <c r="I229" s="36"/>
    </row>
    <row r="230" spans="5:9" x14ac:dyDescent="0.25">
      <c r="E230" s="38"/>
      <c r="F230" s="34"/>
      <c r="G230" s="34" t="s">
        <v>7</v>
      </c>
      <c r="H230" s="34"/>
      <c r="I230" s="36"/>
    </row>
    <row r="231" spans="5:9" x14ac:dyDescent="0.25">
      <c r="E231" s="38"/>
      <c r="F231" s="34"/>
      <c r="G231" s="34" t="s">
        <v>7</v>
      </c>
      <c r="H231" s="34"/>
      <c r="I231" s="36"/>
    </row>
    <row r="232" spans="5:9" x14ac:dyDescent="0.25">
      <c r="E232" s="38"/>
      <c r="F232" s="34"/>
      <c r="G232" s="34" t="s">
        <v>7</v>
      </c>
      <c r="H232" s="34"/>
      <c r="I232" s="36"/>
    </row>
    <row r="233" spans="5:9" x14ac:dyDescent="0.25">
      <c r="E233" s="38"/>
      <c r="F233" s="34"/>
      <c r="G233" s="34" t="s">
        <v>7</v>
      </c>
      <c r="H233" s="34"/>
      <c r="I233" s="36"/>
    </row>
    <row r="234" spans="5:9" x14ac:dyDescent="0.25">
      <c r="E234" s="38"/>
      <c r="F234" s="34"/>
      <c r="G234" s="34" t="s">
        <v>7</v>
      </c>
      <c r="H234" s="34"/>
      <c r="I234" s="36"/>
    </row>
    <row r="235" spans="5:9" x14ac:dyDescent="0.25">
      <c r="E235" s="38"/>
      <c r="F235" s="34"/>
      <c r="G235" s="34" t="s">
        <v>7</v>
      </c>
      <c r="H235" s="34"/>
      <c r="I235" s="36"/>
    </row>
    <row r="236" spans="5:9" x14ac:dyDescent="0.25">
      <c r="E236" s="38"/>
      <c r="F236" s="34"/>
      <c r="G236" s="34" t="s">
        <v>7</v>
      </c>
      <c r="H236" s="34"/>
      <c r="I236" s="36"/>
    </row>
    <row r="237" spans="5:9" x14ac:dyDescent="0.25">
      <c r="E237" s="38"/>
      <c r="F237" s="34"/>
      <c r="G237" s="34" t="s">
        <v>7</v>
      </c>
      <c r="H237" s="34"/>
      <c r="I237" s="36"/>
    </row>
    <row r="238" spans="5:9" x14ac:dyDescent="0.25">
      <c r="E238" s="38"/>
      <c r="F238" s="34"/>
      <c r="G238" s="34" t="s">
        <v>7</v>
      </c>
      <c r="H238" s="34"/>
      <c r="I238" s="36"/>
    </row>
    <row r="239" spans="5:9" x14ac:dyDescent="0.25">
      <c r="E239" s="38"/>
      <c r="F239" s="34"/>
      <c r="G239" s="34" t="s">
        <v>7</v>
      </c>
      <c r="H239" s="34"/>
      <c r="I239" s="36"/>
    </row>
    <row r="240" spans="5:9" x14ac:dyDescent="0.25">
      <c r="E240" s="38"/>
      <c r="F240" s="34"/>
      <c r="G240" s="34" t="s">
        <v>7</v>
      </c>
      <c r="H240" s="34"/>
      <c r="I240" s="36"/>
    </row>
    <row r="241" spans="5:9" x14ac:dyDescent="0.25">
      <c r="E241" s="38"/>
      <c r="F241" s="34"/>
      <c r="G241" s="34" t="s">
        <v>7</v>
      </c>
      <c r="H241" s="34"/>
      <c r="I241" s="36"/>
    </row>
    <row r="242" spans="5:9" x14ac:dyDescent="0.25">
      <c r="E242" s="38"/>
      <c r="F242" s="34"/>
      <c r="G242" s="34" t="s">
        <v>7</v>
      </c>
      <c r="H242" s="34"/>
      <c r="I242" s="36"/>
    </row>
    <row r="243" spans="5:9" x14ac:dyDescent="0.25">
      <c r="E243" s="38"/>
      <c r="F243" s="34"/>
      <c r="G243" s="34" t="s">
        <v>7</v>
      </c>
      <c r="H243" s="34"/>
      <c r="I243" s="36"/>
    </row>
    <row r="244" spans="5:9" x14ac:dyDescent="0.25">
      <c r="E244" s="38"/>
      <c r="F244" s="34"/>
      <c r="G244" s="34" t="s">
        <v>7</v>
      </c>
      <c r="H244" s="34"/>
      <c r="I244" s="36"/>
    </row>
    <row r="245" spans="5:9" x14ac:dyDescent="0.25">
      <c r="E245" s="38"/>
      <c r="F245" s="34"/>
      <c r="G245" s="34" t="s">
        <v>7</v>
      </c>
      <c r="H245" s="34"/>
      <c r="I245" s="36"/>
    </row>
    <row r="246" spans="5:9" x14ac:dyDescent="0.25">
      <c r="E246" s="38"/>
      <c r="F246" s="34"/>
      <c r="G246" s="34" t="s">
        <v>7</v>
      </c>
      <c r="H246" s="34"/>
      <c r="I246" s="36"/>
    </row>
    <row r="247" spans="5:9" x14ac:dyDescent="0.25">
      <c r="E247" s="38"/>
      <c r="F247" s="34"/>
      <c r="G247" s="34" t="s">
        <v>7</v>
      </c>
      <c r="H247" s="34"/>
      <c r="I247" s="36"/>
    </row>
    <row r="248" spans="5:9" x14ac:dyDescent="0.25">
      <c r="E248" s="38"/>
      <c r="F248" s="34"/>
      <c r="G248" s="34" t="s">
        <v>7</v>
      </c>
      <c r="H248" s="34"/>
      <c r="I248" s="36"/>
    </row>
    <row r="249" spans="5:9" x14ac:dyDescent="0.25">
      <c r="E249" s="38"/>
      <c r="F249" s="34"/>
      <c r="G249" s="34" t="s">
        <v>7</v>
      </c>
      <c r="H249" s="34"/>
      <c r="I249" s="36"/>
    </row>
    <row r="250" spans="5:9" x14ac:dyDescent="0.25">
      <c r="E250" s="38"/>
      <c r="F250" s="34"/>
      <c r="G250" s="34" t="s">
        <v>7</v>
      </c>
      <c r="H250" s="34"/>
      <c r="I250" s="36"/>
    </row>
    <row r="251" spans="5:9" x14ac:dyDescent="0.25">
      <c r="E251" s="38"/>
      <c r="F251" s="34"/>
      <c r="G251" s="34" t="s">
        <v>7</v>
      </c>
      <c r="H251" s="34"/>
      <c r="I251" s="36"/>
    </row>
    <row r="252" spans="5:9" x14ac:dyDescent="0.25">
      <c r="E252" s="38"/>
      <c r="F252" s="34"/>
      <c r="G252" s="34" t="s">
        <v>7</v>
      </c>
      <c r="H252" s="34"/>
      <c r="I252" s="36"/>
    </row>
    <row r="253" spans="5:9" x14ac:dyDescent="0.25">
      <c r="E253" s="38"/>
      <c r="F253" s="34"/>
      <c r="G253" s="34" t="s">
        <v>7</v>
      </c>
      <c r="H253" s="34"/>
      <c r="I253" s="36"/>
    </row>
    <row r="254" spans="5:9" x14ac:dyDescent="0.25">
      <c r="E254" s="38"/>
      <c r="F254" s="34"/>
      <c r="G254" s="34" t="s">
        <v>7</v>
      </c>
      <c r="H254" s="34"/>
      <c r="I254" s="36"/>
    </row>
    <row r="255" spans="5:9" x14ac:dyDescent="0.25">
      <c r="E255" s="38"/>
      <c r="F255" s="34"/>
      <c r="G255" s="34" t="s">
        <v>7</v>
      </c>
      <c r="H255" s="34"/>
      <c r="I255" s="36"/>
    </row>
    <row r="256" spans="5:9" x14ac:dyDescent="0.25">
      <c r="E256" s="38"/>
      <c r="F256" s="34"/>
      <c r="G256" s="34" t="s">
        <v>7</v>
      </c>
      <c r="H256" s="34"/>
      <c r="I256" s="36"/>
    </row>
    <row r="257" spans="5:9" x14ac:dyDescent="0.25">
      <c r="E257" s="38"/>
      <c r="F257" s="34"/>
      <c r="G257" s="34" t="s">
        <v>7</v>
      </c>
      <c r="H257" s="34"/>
      <c r="I257" s="36"/>
    </row>
    <row r="258" spans="5:9" x14ac:dyDescent="0.25">
      <c r="E258" s="38"/>
      <c r="F258" s="34"/>
      <c r="G258" s="34" t="s">
        <v>7</v>
      </c>
      <c r="H258" s="34"/>
      <c r="I258" s="36"/>
    </row>
    <row r="259" spans="5:9" x14ac:dyDescent="0.25">
      <c r="E259" s="38"/>
      <c r="F259" s="34"/>
      <c r="G259" s="34" t="s">
        <v>7</v>
      </c>
      <c r="H259" s="34"/>
      <c r="I259" s="36"/>
    </row>
    <row r="260" spans="5:9" x14ac:dyDescent="0.25">
      <c r="E260" s="38"/>
      <c r="F260" s="34"/>
      <c r="G260" s="34" t="s">
        <v>7</v>
      </c>
      <c r="H260" s="34"/>
      <c r="I260" s="36"/>
    </row>
    <row r="261" spans="5:9" x14ac:dyDescent="0.25">
      <c r="E261" s="38"/>
      <c r="F261" s="34"/>
      <c r="G261" s="34" t="s">
        <v>7</v>
      </c>
      <c r="H261" s="34"/>
      <c r="I261" s="36"/>
    </row>
    <row r="262" spans="5:9" x14ac:dyDescent="0.25">
      <c r="G262" s="3" t="s">
        <v>7</v>
      </c>
    </row>
    <row r="263" spans="5:9" x14ac:dyDescent="0.25">
      <c r="G263" s="3" t="s">
        <v>7</v>
      </c>
    </row>
    <row r="264" spans="5:9" x14ac:dyDescent="0.25">
      <c r="G264" s="3" t="s">
        <v>7</v>
      </c>
    </row>
    <row r="265" spans="5:9" x14ac:dyDescent="0.25">
      <c r="G265" s="3" t="s">
        <v>7</v>
      </c>
    </row>
    <row r="266" spans="5:9" x14ac:dyDescent="0.25">
      <c r="G266" s="3" t="s">
        <v>7</v>
      </c>
    </row>
    <row r="267" spans="5:9" x14ac:dyDescent="0.25">
      <c r="G267" s="3" t="s">
        <v>7</v>
      </c>
    </row>
    <row r="268" spans="5:9" x14ac:dyDescent="0.25">
      <c r="G268" s="3" t="s">
        <v>7</v>
      </c>
    </row>
    <row r="269" spans="5:9" x14ac:dyDescent="0.25">
      <c r="G269" s="3" t="s">
        <v>7</v>
      </c>
    </row>
    <row r="270" spans="5:9" x14ac:dyDescent="0.25">
      <c r="G270" s="3" t="s">
        <v>7</v>
      </c>
    </row>
    <row r="271" spans="5:9" x14ac:dyDescent="0.25">
      <c r="G271" s="3" t="s">
        <v>7</v>
      </c>
    </row>
  </sheetData>
  <sheetProtection selectLockedCells="1"/>
  <phoneticPr fontId="6" type="noConversion"/>
  <conditionalFormatting sqref="E17">
    <cfRule type="cellIs" dxfId="28" priority="29" operator="equal">
      <formula>"Nome não Cadastrado"</formula>
    </cfRule>
  </conditionalFormatting>
  <conditionalFormatting sqref="E32">
    <cfRule type="cellIs" dxfId="27" priority="28" operator="equal">
      <formula>"Nome não Cadastrado"</formula>
    </cfRule>
  </conditionalFormatting>
  <conditionalFormatting sqref="E34">
    <cfRule type="cellIs" dxfId="26" priority="27" operator="equal">
      <formula>"Nome não Cadastrado"</formula>
    </cfRule>
  </conditionalFormatting>
  <conditionalFormatting sqref="E35">
    <cfRule type="cellIs" dxfId="25" priority="26" operator="equal">
      <formula>"Nome não Cadastrado"</formula>
    </cfRule>
  </conditionalFormatting>
  <conditionalFormatting sqref="E36">
    <cfRule type="cellIs" dxfId="24" priority="25" operator="equal">
      <formula>"Nome não Cadastrado"</formula>
    </cfRule>
  </conditionalFormatting>
  <conditionalFormatting sqref="E37">
    <cfRule type="cellIs" dxfId="23" priority="24" operator="equal">
      <formula>"Nome não Cadastrado"</formula>
    </cfRule>
  </conditionalFormatting>
  <conditionalFormatting sqref="E38">
    <cfRule type="cellIs" dxfId="22" priority="23" operator="equal">
      <formula>"Nome não Cadastrado"</formula>
    </cfRule>
  </conditionalFormatting>
  <conditionalFormatting sqref="E39">
    <cfRule type="cellIs" dxfId="21" priority="22" operator="equal">
      <formula>"Nome não Cadastrado"</formula>
    </cfRule>
  </conditionalFormatting>
  <conditionalFormatting sqref="E40">
    <cfRule type="cellIs" dxfId="20" priority="21" operator="equal">
      <formula>"Nome não Cadastrado"</formula>
    </cfRule>
  </conditionalFormatting>
  <conditionalFormatting sqref="E41">
    <cfRule type="cellIs" dxfId="19" priority="20" operator="equal">
      <formula>"Nome não Cadastrado"</formula>
    </cfRule>
  </conditionalFormatting>
  <conditionalFormatting sqref="E24">
    <cfRule type="cellIs" dxfId="18" priority="19" operator="equal">
      <formula>"Nome não Cadastrado"</formula>
    </cfRule>
  </conditionalFormatting>
  <conditionalFormatting sqref="E42">
    <cfRule type="cellIs" dxfId="17" priority="18" operator="equal">
      <formula>"Nome não Cadastrado"</formula>
    </cfRule>
  </conditionalFormatting>
  <conditionalFormatting sqref="E43">
    <cfRule type="cellIs" dxfId="16" priority="17" operator="equal">
      <formula>"Nome não Cadastrado"</formula>
    </cfRule>
  </conditionalFormatting>
  <conditionalFormatting sqref="E44">
    <cfRule type="cellIs" dxfId="15" priority="16" operator="equal">
      <formula>"Nome não Cadastrado"</formula>
    </cfRule>
  </conditionalFormatting>
  <conditionalFormatting sqref="E22">
    <cfRule type="cellIs" dxfId="13" priority="14" operator="equal">
      <formula>"Nome não Cadastrado"</formula>
    </cfRule>
  </conditionalFormatting>
  <conditionalFormatting sqref="E16">
    <cfRule type="cellIs" dxfId="12" priority="13" operator="equal">
      <formula>"Nome não Cadastrado"</formula>
    </cfRule>
  </conditionalFormatting>
  <conditionalFormatting sqref="E23">
    <cfRule type="cellIs" dxfId="11" priority="12" operator="equal">
      <formula>"Nome não Cadastrado"</formula>
    </cfRule>
  </conditionalFormatting>
  <conditionalFormatting sqref="E31">
    <cfRule type="cellIs" dxfId="10" priority="11" operator="equal">
      <formula>"Nome não Cadastrado"</formula>
    </cfRule>
  </conditionalFormatting>
  <conditionalFormatting sqref="E45">
    <cfRule type="cellIs" dxfId="9" priority="10" operator="equal">
      <formula>"Nome não Cadastrado"</formula>
    </cfRule>
  </conditionalFormatting>
  <conditionalFormatting sqref="E46:E47">
    <cfRule type="cellIs" dxfId="8" priority="9" operator="equal">
      <formula>"Nome não Cadastrado"</formula>
    </cfRule>
  </conditionalFormatting>
  <conditionalFormatting sqref="E13">
    <cfRule type="cellIs" dxfId="7" priority="8" operator="equal">
      <formula>"Nome não Cadastrado"</formula>
    </cfRule>
  </conditionalFormatting>
  <conditionalFormatting sqref="E48">
    <cfRule type="cellIs" dxfId="5" priority="6" operator="equal">
      <formula>"Nome não Cadastrado"</formula>
    </cfRule>
  </conditionalFormatting>
  <conditionalFormatting sqref="E25">
    <cfRule type="cellIs" dxfId="4" priority="5" operator="equal">
      <formula>"Nome não Cadastrado"</formula>
    </cfRule>
  </conditionalFormatting>
  <conditionalFormatting sqref="E49">
    <cfRule type="cellIs" dxfId="3" priority="4" operator="equal">
      <formula>"Nome não Cadastrado"</formula>
    </cfRule>
  </conditionalFormatting>
  <conditionalFormatting sqref="E50">
    <cfRule type="cellIs" dxfId="2" priority="3" operator="equal">
      <formula>"Nome não Cadastrado"</formula>
    </cfRule>
  </conditionalFormatting>
  <conditionalFormatting sqref="E14">
    <cfRule type="cellIs" dxfId="1" priority="2" operator="equal">
      <formula>"Nome não Cadastrado"</formula>
    </cfRule>
  </conditionalFormatting>
  <conditionalFormatting sqref="E2:E12">
    <cfRule type="cellIs" dxfId="0" priority="1" operator="equal">
      <formula>"Nome não Cadastrado"</formula>
    </cfRule>
  </conditionalFormatting>
  <hyperlinks>
    <hyperlink ref="F2" r:id="rId1" xr:uid="{9123F3A5-696C-4C01-8A15-217746CDED81}"/>
    <hyperlink ref="F3:F12" r:id="rId2" display="cliente1@cliente1.com.br" xr:uid="{E6D2CE7A-3A44-471A-A95E-432BA1D4635B}"/>
    <hyperlink ref="F3" r:id="rId3" xr:uid="{C9D4DC13-C098-437A-B7D6-B688F4A8607A}"/>
    <hyperlink ref="F4" r:id="rId4" xr:uid="{34FD9617-DB0F-4105-B249-439A04E325EA}"/>
    <hyperlink ref="F5" r:id="rId5" xr:uid="{9D00F696-A787-4598-8D29-1C08546C9883}"/>
    <hyperlink ref="F6" r:id="rId6" xr:uid="{4C8A4DDF-1C28-4C66-8108-920D492FF3E7}"/>
    <hyperlink ref="F7" r:id="rId7" xr:uid="{7486C518-3F56-4966-984E-481C0733B790}"/>
    <hyperlink ref="F8" r:id="rId8" xr:uid="{09032DFE-7FBF-493F-AD28-6122BF8147EA}"/>
    <hyperlink ref="F9" r:id="rId9" xr:uid="{84DAE2CA-F219-4434-8F6A-E93ED28B9E31}"/>
    <hyperlink ref="F10" r:id="rId10" xr:uid="{2EB56A9B-68FD-43BE-B965-1DC325163869}"/>
    <hyperlink ref="F11" r:id="rId11" xr:uid="{BEFA04B2-62DA-4949-8C1F-473C29405EE4}"/>
    <hyperlink ref="F12" r:id="rId12" xr:uid="{B77E1794-56F3-47C6-9689-9DA8CD5C9465}"/>
  </hyperlinks>
  <pageMargins left="0.511811024" right="0.511811024" top="0.78740157499999996" bottom="0.78740157499999996" header="0.31496062000000002" footer="0.31496062000000002"/>
  <pageSetup paperSize="9" orientation="portrait" r:id="rId1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Envio de CTes</vt:lpstr>
      <vt:lpstr>Catálogo de e-mails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Alon Pinheiro</dc:creator>
  <cp:keywords/>
  <dc:description/>
  <cp:lastModifiedBy>Evandro_FIN_RS-3022</cp:lastModifiedBy>
  <cp:revision>0</cp:revision>
  <cp:lastPrinted>2022-07-12T20:20:55Z</cp:lastPrinted>
  <dcterms:created xsi:type="dcterms:W3CDTF">2015-06-05T18:19:34Z</dcterms:created>
  <dcterms:modified xsi:type="dcterms:W3CDTF">2023-03-27T12:38:46Z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